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Assump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<sst xmlns="http://schemas.openxmlformats.org/spreadsheetml/2006/main" count="628" uniqueCount="387">
  <si>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</si>
  <si>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</si>
  <si>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</si>
  <si>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</si>
  <si>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</si>
  <si>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</si>
  <si>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</si>
  <si>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</si>
  <si>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</si>
  <si>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service)</t>
  </si>
  <si>
    <t xml:space="preserve">E-001, ES101, ES601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</si>
  <si>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</si>
  <si>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</si>
  <si>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</si>
  <si>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</si>
  <si>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</si>
  <si>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</si>
  <si>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</si>
  <si>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</si>
  <si>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</si>
  <si>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</si>
  <si>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</si>
  <si>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</si>
  <si>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</si>
  <si>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</si>
  <si>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</si>
  <si>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</si>
  <si>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only, no direct cost unless priced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</si>
  <si>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</si>
  <si>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</si>
  <si>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</si>
  <si>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</si>
  <si>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</si>
  <si>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</si>
  <si>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</si>
  <si>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</si>
  <si>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</si>
  <si>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carried.</t>
  </si>
  <si>
    <t xml:space="preserve">8. Demarcation between Xcel Energy work and contract work to be documented in Design Analysis (QC on ES101) — primary work carried as NIC.</t>
  </si>
  <si>
    <t xml:space="preserve">SITE ELECTRICAL TAKEOFF (Sheets E-001, ES101, ES601)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</si>
  <si>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</si>
  <si>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</si>
  <si>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</si>
  <si>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</si>
  <si>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</si>
  <si>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</si>
  <si>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</si>
  <si>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</si>
  <si>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</si>
  <si>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</si>
  <si>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</si>
  <si>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</si>
  <si>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</si>
  <si>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</si>
  <si>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</si>
  <si>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</si>
  <si>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</si>
  <si>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</si>
  <si>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</si>
  <si>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</si>
  <si>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</si>
  <si>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</si>
  <si>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</si>
  <si>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</si>
  <si>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ES101 / KN 8</t>
  </si>
  <si>
    <t xml:space="preserve">Counted</t>
  </si>
  <si>
    <t xml:space="preserve">LS</t>
  </si>
  <si>
    <t xml:space="preserve">Building EC responsible for relocation per KN 8. Includes rigging, disconnection/reconnection, recertification testing.</t>
  </si>
  <si>
    <t xml:space="preserve">A4</t>
  </si>
  <si>
    <t xml:space="preserve">Utility PRIMARY boring/trenching, conduit &amp; wiring, splice point to new transformer — BY XCEL ENERGY</t>
  </si>
  <si>
    <t xml:space="preserve">ES101 / KN 1,3,4; 1/ES601</t>
  </si>
  <si>
    <t xml:space="preserve">XE provides all primary conduit/wiring/trenching (KN 4). Route scaled ±150 LF for coordination. EC coordinates routing &amp; termination. Primary trench detail 1/ES601 (24" min depth, warning tape) if EC performs any portion.</t>
  </si>
  <si>
    <t xml:space="preserve">A5</t>
  </si>
  <si>
    <t xml:space="preserve">Remove existing parking lot light pole and foundation (NW parking, Tract I)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</si>
  <si>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</si>
  <si>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</si>
  <si>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</si>
  <si>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</si>
  <si>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</si>
  <si>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</si>
  <si>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</si>
  <si>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</si>
  <si>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</si>
  <si>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</si>
  <si>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</si>
  <si>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</si>
  <si>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</si>
  <si>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</si>
  <si>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</si>
  <si>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</si>
  <si>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Legend item; verify count. Comm pedestal at NW corner of Bldg C to be PROTECTED (QC fence-removal comment references it).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</si>
  <si>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</si>
  <si>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</si>
  <si>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CD101 notes</t>
  </si>
  <si>
    <t xml:space="preserve">Protection/coordination during demolition &amp; paving. 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</si>
  <si>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</si>
  <si>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</si>
  <si>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</si>
  <si>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480/277V, 3-phase pad-mounted utility transformer — BY XCEL; concrete pad by GC (coordinate w/ XE reqmts)</t>
  </si>
  <si>
    <t xml:space="preserve">ES101 / KN 4</t>
  </si>
  <si>
    <t xml:space="preserve">Carry transformer concrete pad + grounding per XE standards; XE furnishes/installs transformer &amp; makes primary/secondary connections at transformer landings.</t>
  </si>
  <si>
    <t xml:space="preserve">B2</t>
  </si>
  <si>
    <t xml:space="preserve">Transformer concrete pad w/ clearances per XE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</si>
  <si>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</si>
  <si>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</si>
  <si>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</si>
  <si>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EC furnishes &amp; installs required meter housing; XE furnishes/installs/connects meter in that housing. CT cabinet shown at Bldg A.</t>
  </si>
  <si>
    <t xml:space="preserve">B4</t>
  </si>
  <si>
    <t xml:space="preserve">UG secondary conduit system, transformer to Bldg A main service disconnect / MDP</t>
  </si>
  <si>
    <t xml:space="preserve">ES101 / KN 5</t>
  </si>
  <si>
    <t xml:space="preserve">Conduit count/size per electrical one-line (building package — not in site set). Carry duct bank/trench LF; verify conduit qty at next submittal.</t>
  </si>
  <si>
    <t xml:space="preserve">B5</t>
  </si>
  <si>
    <t xml:space="preserve">UG conduits, generator to automatic transfer switch(es)</t>
  </si>
  <si>
    <t xml:space="preserve">ES101 / KN 6</t>
  </si>
  <si>
    <t xml:space="preserve">Refer to one-line for conduit count. Field coordinate exact routing &amp; stub-up locations prior to rough-in (KN 6).</t>
  </si>
  <si>
    <t xml:space="preserve">Subtotal B</t>
  </si>
  <si>
    <t xml:space="preserve">C. SITE LIGHTING (Schedule &amp; details ES601)</t>
  </si>
  <si>
    <t xml:space="preserve">C1</t>
  </si>
  <si>
    <t xml:space="preserve">Fixture EA1 — 35' pole-mounted LED site light, Type 3 backlight control, glare shield, house-side shield (Lithonia DSX1-LED-P3-30K, 277V) w/ pole</t>
  </si>
  <si>
    <t xml:space="preserve">ES101/ES601 sched.</t>
  </si>
  <si>
    <t xml:space="preserve">Tag count from plan. Integral PIR motion (SPD20KV), dims to 30% after 10 min.</t>
  </si>
  <si>
    <t xml:space="preserve">C2</t>
  </si>
  <si>
    <t xml:space="preserve">Fixture EA2 — 35' pole-mounted LED site light, Type 5 distribution, glare shield (Lithonia DSX1-LED-P3-30K-T5W, 277V) w/ pole</t>
  </si>
  <si>
    <t xml:space="preserve">7 tagged poles; plan symbols show TWIN heads on EA2 poles — verify heads/pole (14 luminaires on 7 poles if twin). Priced per pole assembly.</t>
  </si>
  <si>
    <t xml:space="preserve">C3</t>
  </si>
  <si>
    <t xml:space="preserve">Fixture EA3 — 35' pole-mounted LED site light, short-throw distribution, glare shield, house-side shield (277V) w/ pole</t>
  </si>
  <si>
    <t xml:space="preserve">Tag count from plan (east parking).</t>
  </si>
  <si>
    <t xml:space="preserve">C4</t>
  </si>
  <si>
    <t xml:space="preserve">Pole base foundation, 2'-0" dia. x 9'-6" deep, 8-#5 vert., #4@10" ties, w/ anchor bolts, grout, ground stud</t>
  </si>
  <si>
    <t xml:space="preserve">2/ES601 dim. sched.</t>
  </si>
  <si>
    <t xml:space="preserve">31'-40' pole row of dimension schedule. Round base in unpaved, square in/adjacent paving. Conc. &amp; reinf. see Div 3.</t>
  </si>
  <si>
    <t xml:space="preserve">C5</t>
  </si>
  <si>
    <t xml:space="preserve">Ground rod, #6 bare Cu bond to rebar &amp; pole, per pole base detail</t>
  </si>
  <si>
    <t xml:space="preserve">2/ES601</t>
  </si>
  <si>
    <t xml:space="preserve">One per pole base.</t>
  </si>
  <si>
    <t xml:space="preserve">C6</t>
  </si>
  <si>
    <t xml:space="preserve">Fixture EB1 — exterior LED bollard (Luminis RADB-LED-P1-30K, 3000K/80CRI, 277V), at grade</t>
  </si>
  <si>
    <t xml:space="preserve">6 bollards along Bldg A south walk.</t>
  </si>
  <si>
    <t xml:space="preserve">C7</t>
  </si>
  <si>
    <t xml:space="preserve">Bollard base foundation 1'-2" w/ 4-#5 vert., #3 ties @10"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</si>
  <si>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</si>
  <si>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</si>
  <si>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</si>
  <si>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light, truck-mounted (Eagle Mountain SG-3K-EHS-M-XX)</t>
  </si>
  <si>
    <t xml:space="preserve">3 at flagpoles NW of Bldg A.</t>
  </si>
  <si>
    <t xml:space="preserve">C9</t>
  </si>
  <si>
    <t xml:space="preserve">Weatherproof box w/ remote drivers for EF1 fixtures, buried in adjacent landscaped area</t>
  </si>
  <si>
    <t xml:space="preserve">ES101 / KN 10</t>
  </si>
  <si>
    <t xml:space="preserve">Field verify exact location of remote drivers prior to rough-in.</t>
  </si>
  <si>
    <t xml:space="preserve">C10</t>
  </si>
  <si>
    <t xml:space="preserve">Site lighting branch circuits — conduit, conductors &amp; trench (ALLOWANCE — circuiting not shown at 65%)</t>
  </si>
  <si>
    <t xml:space="preserve">ES101</t>
  </si>
  <si>
    <t xml:space="preserve">Allowance</t>
  </si>
  <si>
    <t xml:space="preserve">No homeruns/circuit routing drawn at 65%; photometric plan to be added per QC comment. Allowance = pole-to-pole loop + homeruns; revise at 95%. Assume 1" PVC, 2#10+1#10G typ., 24" bury.</t>
  </si>
  <si>
    <t xml:space="preserve">C11</t>
  </si>
  <si>
    <t xml:space="preserve">Lighting control interface — timeclock via lighting control panel in Bldg A</t>
  </si>
  <si>
    <t xml:space="preserve">ES601 seq. of ops</t>
  </si>
  <si>
    <t xml:space="preserve">Panel itself in building package; carry site interface/controls wiring allowance.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</si>
  <si>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</si>
  <si>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</si>
  <si>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</si>
  <si>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</si>
  <si>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ES101 / KN 7</t>
  </si>
  <si>
    <t xml:space="preserve">One at each vehicle gate (Bldg B west gate, and 2 east gate pedestals). Verify exact locations w/ approved shop drawings. QC: JB may shift closer to card reader.</t>
  </si>
  <si>
    <t xml:space="preserve">D2</t>
  </si>
  <si>
    <t xml:space="preserve">3/4" conduit w/ 2#10 + 1#10G to gate operator JBs (ALLOWANCE — source panel/routing not shown)</t>
  </si>
  <si>
    <t xml:space="preserve">Branch circuit source &amp; routing not indicated at 65%. Allowance for 3 runs; revise when circuiting issued.</t>
  </si>
  <si>
    <t xml:space="preserve">Subtotal D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</si>
  <si>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</si>
  <si>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</si>
  <si>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</si>
  <si>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hole, 8'-0" x 96" x 96" precast (4260 base 9,275 lb / top 2,100 lb), cover, duct terminators, bonding ribbon, sump</t>
  </si>
  <si>
    <t xml:space="preserve">TSN100 sched.; H1/TSN400</t>
  </si>
  <si>
    <t xml:space="preserve">MH1-1 thru MH1-4. Provide knockouts to avoid 90° turns in duct bank.</t>
  </si>
  <si>
    <t xml:space="preserve">HH1 — Telecom handhole, 3'-0" x 24" x 48", polymer concrete box &amp; slip-resistant cover (non-traffic rated)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</si>
  <si>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</si>
  <si>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</si>
  <si>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</si>
  <si>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TSY100</t>
  </si>
  <si>
    <t xml:space="preserve">TSY100 labels an HH1-1 near Horizon Dr. that is not tagged on TSN100 — confirm whether this is a 6th handhole or a re-label of MH1-1 area.</t>
  </si>
  <si>
    <t xml:space="preserve">B. DUCT BANKS (schedule TSN100; sections TSN400; concrete-encased, 3000 psi, #4 rebar, #3 hoops @18")</t>
  </si>
  <si>
    <t xml:space="preserve">DB1 [(2) 4" PVC, ea. w/ (1) 4" 3-cell MaxCell] — MH1-1 to ISP telecom pedestal (east along Horizon Dr.)</t>
  </si>
  <si>
    <t xml:space="preserve">TSN100 / KN 1</t>
  </si>
  <si>
    <t xml:space="preserve">Scaled at 1"=30' (±10%). ISP pedestal location approximate — coordinate exact location with ISP.</t>
  </si>
  <si>
    <t xml:space="preserve">DB1 — MH1-1 to MH1-2</t>
  </si>
  <si>
    <t xml:space="preserve">TSN100</t>
  </si>
  <si>
    <t xml:space="preserve">Scaled at 1"=30' (±10%).</t>
  </si>
  <si>
    <t xml:space="preserve">DB1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</si>
  <si>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</si>
  <si>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</si>
  <si>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— MH1-2 to HH1-4 (Bldg B)</t>
  </si>
  <si>
    <t xml:space="preserve">TSN100 / KN 4</t>
  </si>
  <si>
    <t xml:space="preserve">Coordinate final location w/ security contractor for connection to security gate.</t>
  </si>
  <si>
    <t xml:space="preserve">DB1 — MH1-3 to MH1-4</t>
  </si>
  <si>
    <t xml:space="preserve">Dimensioned</t>
  </si>
  <si>
    <t xml:space="preserve">Plan dim 123'-1".</t>
  </si>
  <si>
    <t xml:space="preserve">B6</t>
  </si>
  <si>
    <t xml:space="preserve">DB1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</si>
  <si>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</si>
  <si>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</si>
  <si>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</si>
  <si>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</t>
  </si>
  <si>
    <t xml:space="preserve">B8</t>
  </si>
  <si>
    <t xml:space="preserve">DB2 [(4) 4" PVC 2Hx2W, ea. w/ (1) 4" 3-cell MaxCell] — MH1-2 to MH1-3</t>
  </si>
  <si>
    <t xml:space="preserve">B9</t>
  </si>
  <si>
    <t xml:space="preserve">DB2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</si>
  <si>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</si>
  <si>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</si>
  <si>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</t>
  </si>
  <si>
    <t xml:space="preserve">B11</t>
  </si>
  <si>
    <t xml:space="preserve">DB3 [(2) 2" 1Hx2W, ea. w/ (1) 2" 3-cell MaxCell innerduct] — HH1-3 to HH1-5</t>
  </si>
  <si>
    <t xml:space="preserve">72'-x 1/4" diagonal + 29'-2 1/2" segments (partially obscured dim — verify 72' leg).</t>
  </si>
  <si>
    <t xml:space="preserve">B12</t>
  </si>
  <si>
    <t xml:space="preserve">DB3 — HH1-5 to HH1-6 (east vehicle gate)</t>
  </si>
  <si>
    <t xml:space="preserve">179'-7 1/4" + 17'-8 3/4". NOTE: an overall dim of 508'-8 3/4" is also shown at HH1-6 and does NOT reconcile with the segment sum — RFI/verify.</t>
  </si>
  <si>
    <t xml:space="preserve">B13</t>
  </si>
  <si>
    <t xml:space="preserve">DB3 SUBTOTAL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</si>
  <si>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</si>
  <si>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</si>
  <si>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 (30" min cover, warning tape, below 50-yr freeze line, ≥6' below grade under traffic)</t>
  </si>
  <si>
    <t xml:space="preserve">TSN100 GN 8/9</t>
  </si>
  <si>
    <t xml:space="preserve">Calc</t>
  </si>
  <si>
    <t xml:space="preserve">Equals sum of all duct bank segments above.</t>
  </si>
  <si>
    <t xml:space="preserve">Concrete encasement, DB1 section 16"H x 23"W (2.56 SF)</t>
  </si>
  <si>
    <t xml:space="preserve">A8/TSN400</t>
  </si>
  <si>
    <t xml:space="preserve">CY</t>
  </si>
  <si>
    <t xml:space="preserve">Qty = DB1 LF x 2.56 SF / 27.</t>
  </si>
  <si>
    <t xml:space="preserve">Concrete encasement, DB2 section 25" x 25" (4.34 SF)</t>
  </si>
  <si>
    <t xml:space="preserve">A13/TSN400</t>
  </si>
  <si>
    <t xml:space="preserve">Qty = DB2 LF x 4.34 SF / 27.</t>
  </si>
  <si>
    <t xml:space="preserve">Concrete encasement, DB3 section 14" x 8-1/2" (0.83 SF) — encasement detail for DB3 not shown, assumed encased</t>
  </si>
  <si>
    <t xml:space="preserve">TSN100 sched.</t>
  </si>
  <si>
    <t xml:space="preserve">Qty = DB3 LF x 0.83 SF / 27. Verify whether DB3 is concrete-encased or direct-buried.</t>
  </si>
  <si>
    <t xml:space="preserve">#6 AWG bonding conductor, power-to-telecom plant bond; bond metallic-sheath cables at each MH</t>
  </si>
  <si>
    <t xml:space="preserve">TSN100 GN 3/12</t>
  </si>
  <si>
    <t xml:space="preserve">Per NEC/NESC; includes MH bonding ribbon connections.</t>
  </si>
  <si>
    <t xml:space="preserve">Pull string / mule tape in all conduits &amp; innerduct cells; empty-conduit test rating 200 lb</t>
  </si>
  <si>
    <t xml:space="preserve">TSN gen. notes</t>
  </si>
  <si>
    <t xml:space="preserve">D. OSP CABLING (TSN300 site one-line)</t>
  </si>
  <si>
    <t xml:space="preserve">12-strand OM4 multimode fiber, OSP — Bldg A to MH/HH system incl. coils for future connection at Bldg B/C and east gate handholes</t>
  </si>
  <si>
    <t xml:space="preserve">TSN300</t>
  </si>
  <si>
    <t xml:space="preserve">Routes + 20% slack + coils (QC: 'fiber optic cable coiled for future connection' at HH1s). Revise when cable schedule issued.</t>
  </si>
  <si>
    <t xml:space="preserve">Fiber terminations, LIU/patch panel at Bldg A, testing &amp; documentation</t>
  </si>
  <si>
    <t xml:space="preserve">TSN300; TSN001 matrix</t>
  </si>
  <si>
    <t xml:space="preserve">Contractor per responsibility matrix (Div 27).</t>
  </si>
  <si>
    <t xml:space="preserve">D3</t>
  </si>
  <si>
    <t xml:space="preserve">OSP copper backbone cabling — TBD (QC comment: 'Where is the OSP copper?')</t>
  </si>
  <si>
    <t xml:space="preserve">TSN300 QC</t>
  </si>
  <si>
    <t xml:space="preserve">Matrix lists copper backbone as Contractor scope but no copper shown on one-line at 65% — carry allowance / RFI.</t>
  </si>
  <si>
    <t xml:space="preserve">D4</t>
  </si>
  <si>
    <t xml:space="preserve">ISP fiber &amp; ISP telecom pedestal — BY ISP</t>
  </si>
  <si>
    <t xml:space="preserve">ISP-furnished/installed per responsibility matrix; contractor provides pathway (DB1 item B1) &amp; coordination.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</si>
  <si>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</si>
  <si>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</si>
  <si>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</si>
  <si>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 — welded 316 SS gooseneck pedestal (min 2" sq.), 48" above roadway, concrete footer (frost depth +20" from curb), 1" conduit for signal cables</t>
  </si>
  <si>
    <t xml:space="preserve">TSY100; A1/TSY101</t>
  </si>
  <si>
    <t xml:space="preserve">East vehicle gates at HH1-5 &amp; HH1-6. QC: pedestal locations updated per civil; verify vs. updated civil background.</t>
  </si>
  <si>
    <t xml:space="preserve">Building-mounted video intercom w/ integrated card reader — vehicle gate at Bldg B</t>
  </si>
  <si>
    <t xml:space="preserve">Building-mounted card reader — pedestrian gate (Bldg C area)</t>
  </si>
  <si>
    <t xml:space="preserve">QC: shift reader to wall mount at the gate; add OSP-rated ACS cable keynote.</t>
  </si>
  <si>
    <t xml:space="preserve">Card reader at personnel swing gate (TSY101 inset, KN 7) — additional to A3?</t>
  </si>
  <si>
    <t xml:space="preserve">TSY101 inset KN 7-9</t>
  </si>
  <si>
    <t xml:space="preserve">Inset shows card readers at swing gate (KN 8) &amp; personnel swing gate (KN 9, gates per C-503). VERIFY overlap with A2/A3 building-mounted readers before pricing.</t>
  </si>
  <si>
    <t xml:space="preserve">Vehicle gate operator connection/interface (operator &amp; gate by others — civil C-503) incl. gate command wiring</t>
  </si>
  <si>
    <t xml:space="preserve">TSY101 flow diag.</t>
  </si>
  <si>
    <t xml:space="preserve">VEH GATE 1/2/3 operators. 120V power JB by electrical (see Site Electrical D1).</t>
  </si>
  <si>
    <t xml:space="preserve">Vehicle exit loop (saw-cut or preformed) w/ lead-in to gate operator</t>
  </si>
  <si>
    <t xml:space="preserve">Gate position switch (DPS) on sliding gate — magnet, mounting bracket, armored cable, WP single-gang box,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</si>
  <si>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</si>
  <si>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</si>
  <si>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 — card reader WP sheet-metal enclosure, swinging gate lock &amp; bracket, (2) 1" conduits to security equipment</t>
  </si>
  <si>
    <t xml:space="preserve">A13/TSY101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</si>
  <si>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</si>
  <si>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</si>
  <si>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</si>
  <si>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G2/TSY101</t>
  </si>
  <si>
    <t xml:space="preserve">Access control panel ACP2 ('if necessary')</t>
  </si>
  <si>
    <t xml:space="preserve">Shown dashed / 'IF NECESSARY' — carry until panel count confirmed.</t>
  </si>
  <si>
    <t xml:space="preserve">12U equipment rack, COMM 124</t>
  </si>
  <si>
    <t xml:space="preserve">ACS server + access control software, licensing &amp; commissioning</t>
  </si>
  <si>
    <t xml:space="preserve">G2/TSY101; TSY002</t>
  </si>
  <si>
    <t xml:space="preserve">Div 28, contractor furnished/installed per matrix.</t>
  </si>
  <si>
    <t xml:space="preserve">VIC (video intercom) master station</t>
  </si>
  <si>
    <t xml:space="preserve">Video intercom system remains contractor scope per TSY002.</t>
  </si>
  <si>
    <t xml:space="preserve">Security network switch — OWNER furnished/installed; coordination only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</si>
  <si>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</si>
  <si>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</si>
  <si>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</si>
  <si>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</si>
  <si>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Video surveillance head-end, cameras &amp; VSS cabling struck through on responsibility matrix. Still drawn on G2/TSY101 rack — VERIFY deletion before bid.</t>
  </si>
  <si>
    <t xml:space="preserve">Surge protection devices &amp; associated cabling (head end + field)</t>
  </si>
  <si>
    <t xml:space="preserve">Div 28 contractor scope.</t>
  </si>
  <si>
    <t xml:space="preserve">C. CABLING (homeruns via telecom duct bank system to COMM 124)</t>
  </si>
  <si>
    <t xml:space="preserve">OSP-rated access control cable to each card reader location</t>
  </si>
  <si>
    <t xml:space="preserve">TSY100 QC notes</t>
  </si>
  <si>
    <t xml:space="preserve">5 reader locations; homerun lengths estimated along duct routes + slack. QC keynote to be added: '(1) OSP-rated ACS cable to card reader'.</t>
  </si>
  <si>
    <t xml:space="preserve">Extended-reach 4-pair 22 AWG min. copper data cable, PoE rated, to each intercom (3)</t>
  </si>
  <si>
    <t xml:space="preserve">TSY101; TSY100 QC</t>
  </si>
  <si>
    <t xml:space="preserve">(3) cables per riser note. Verify cable length/bandwidth/PoE load/voltage-drop per manufacturer (GN 9). East gate run ±600 LF — confirm extended-reach product suitability.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</si>
  <si>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</si>
  <si>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</si>
  <si>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</si>
  <si>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TSY002; TSY100 GN 8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</si>
  <si>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</si>
  <si>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</si>
  <si>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—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</si>
  <si>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</si>
  <si>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</si>
  <si>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</si>
  <si>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</si>
  <si>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</si>
  <si>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</si>
  <si>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</si>
  <si>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</si>
  <si>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</si>
  <si>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</si>
  <si>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</si>
  <si>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</si>
  <si>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</si>
  <si>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</si>
  <si>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</si>
  <si>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</si>
  <si>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</si>
  <si>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</si>
  <si>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</si>
  <si>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</si>
  <si>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</si>
  <si>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</si>
  <si>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</si>
  <si>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</si>
  <si>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</si>
  <si>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</si>
  <si>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</si>
  <si>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</si>
  <si>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</si>
  <si>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</si>
  <si>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</si>
  <si>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</si>
  <si>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</si>
  <si>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MHs.</t>
  </si>
  <si>
    <t xml:space="preserve">A3.7</t>
  </si>
  <si>
    <t xml:space="preserve">Security homerun cabling routed through the telecom duct bank/MaxCell system to COMM 124 in Bldg A (TSY100 GN); no separate security duct bank carried.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</si>
  <si>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</si>
  <si>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</si>
  <si>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</si>
  <si>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</t>
  </si>
  <si>
    <t xml:space="preserve">A3.10</t>
  </si>
  <si>
    <t xml:space="preserve">Site lighting controls are integral (PIR/dimming) + timeclock in Bldg A lighting control panel (building package); only interface wiring carried.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</si>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</sst>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\$#,##0.00"/>
    <numFmt numFmtId="168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BDD7EE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Electrical'!H42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OSP'!H40</f>
        <v>0</v>
      </c>
      <c r="E10" s="8" t="s">
        <v>14</v>
      </c>
    </row>
    <row r="11" customFormat="false" ht="22.35" hidden="false" customHeight="false" outlineLevel="0" collapsed="false">
      <c r="B11" s="7" t="s">
        <v>15</v>
      </c>
      <c r="C11" s="8" t="s">
        <v>16</v>
      </c>
      <c r="D11" s="9" t="n">
        <f aca="false">Security!H37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4" customFormat="false" ht="15" hidden="false" customHeight="false" outlineLevel="0" collapsed="false">
      <c r="B14" s="5" t="s">
        <v>19</v>
      </c>
    </row>
    <row r="15" customFormat="false" ht="15" hidden="false" customHeight="true" outlineLevel="0" collapsed="false">
      <c r="B15" s="13" t="s">
        <v>20</v>
      </c>
      <c r="C15" s="14" t="s">
        <v>21</v>
      </c>
      <c r="D15" s="14"/>
      <c r="E15" s="14"/>
    </row>
    <row r="16" customFormat="false" ht="15" hidden="false" customHeight="true" outlineLevel="0" collapsed="false">
      <c r="B16" s="15" t="s">
        <v>22</v>
      </c>
      <c r="C16" s="14" t="s">
        <v>23</v>
      </c>
      <c r="D16" s="14"/>
      <c r="E16" s="14"/>
    </row>
    <row r="17" customFormat="false" ht="15" hidden="false" customHeight="true" outlineLevel="0" collapsed="false">
      <c r="B17" s="16" t="s">
        <v>24</v>
      </c>
      <c r="C17" s="14" t="s">
        <v>25</v>
      </c>
      <c r="D17" s="14"/>
      <c r="E17" s="14"/>
    </row>
    <row r="18" customFormat="false" ht="22.35" hidden="false" customHeight="true" outlineLevel="0" collapsed="false">
      <c r="B18" s="17" t="s">
        <v>26</v>
      </c>
      <c r="C18" s="14" t="s">
        <v>27</v>
      </c>
      <c r="D18" s="14"/>
      <c r="E18" s="14"/>
    </row>
    <row r="19" customFormat="false" ht="15" hidden="false" customHeight="true" outlineLevel="0" collapsed="false">
      <c r="B19" s="17" t="s">
        <v>28</v>
      </c>
      <c r="C19" s="14" t="s">
        <v>29</v>
      </c>
      <c r="D19" s="14"/>
      <c r="E19" s="14"/>
    </row>
    <row r="21" customFormat="false" ht="15" hidden="false" customHeight="false" outlineLevel="0" collapsed="false">
      <c r="B21" s="5" t="s">
        <v>30</v>
      </c>
    </row>
    <row r="22" customFormat="false" ht="24" hidden="false" customHeight="true" outlineLevel="0" collapsed="false">
      <c r="B22" s="14" t="s">
        <v>31</v>
      </c>
      <c r="C22" s="14"/>
      <c r="D22" s="14"/>
      <c r="E22" s="14"/>
    </row>
    <row r="23" customFormat="false" ht="24" hidden="false" customHeight="true" outlineLevel="0" collapsed="false">
      <c r="B23" s="14" t="s">
        <v>32</v>
      </c>
      <c r="C23" s="14"/>
      <c r="D23" s="14"/>
      <c r="E23" s="14"/>
    </row>
    <row r="24" customFormat="false" ht="24" hidden="false" customHeight="true" outlineLevel="0" collapsed="false">
      <c r="B24" s="14" t="s">
        <v>33</v>
      </c>
      <c r="C24" s="14"/>
      <c r="D24" s="14"/>
      <c r="E24" s="14"/>
    </row>
    <row r="25" customFormat="false" ht="24" hidden="false" customHeight="true" outlineLevel="0" collapsed="false">
      <c r="B25" s="14" t="s">
        <v>34</v>
      </c>
      <c r="C25" s="14"/>
      <c r="D25" s="14"/>
      <c r="E25" s="14"/>
    </row>
    <row r="26" customFormat="false" ht="24" hidden="false" customHeight="true" outlineLevel="0" collapsed="false">
      <c r="B26" s="14" t="s">
        <v>35</v>
      </c>
      <c r="C26" s="14"/>
      <c r="D26" s="14"/>
      <c r="E26" s="14"/>
    </row>
    <row r="27" customFormat="false" ht="24" hidden="false" customHeight="true" outlineLevel="0" collapsed="false">
      <c r="B27" s="14" t="s">
        <v>36</v>
      </c>
      <c r="C27" s="14"/>
      <c r="D27" s="14"/>
      <c r="E27" s="14"/>
    </row>
    <row r="28" customFormat="false" ht="24" hidden="false" customHeight="true" outlineLevel="0" collapsed="false">
      <c r="B28" s="14" t="s">
        <v>37</v>
      </c>
      <c r="C28" s="14"/>
      <c r="D28" s="14"/>
      <c r="E28" s="14"/>
    </row>
    <row r="29" customFormat="false" ht="24" hidden="false" customHeight="true" outlineLevel="0" collapsed="false">
      <c r="B29" s="14" t="s">
        <v>38</v>
      </c>
      <c r="C29" s="14"/>
      <c r="D29" s="14"/>
      <c r="E29" s="14"/>
    </row>
  </sheetData>
  <mergeCells count="13">
    <mergeCell ref="C15:E15"/>
    <mergeCell ref="C16:E16"/>
    <mergeCell ref="C17:E17"/>
    <mergeCell ref="C18:E18"/>
    <mergeCell ref="C19:E19"/>
    <mergeCell ref="B22:E22"/>
    <mergeCell ref="B23:E23"/>
    <mergeCell ref="B24:E24"/>
    <mergeCell ref="B25:E25"/>
    <mergeCell ref="B26:E26"/>
    <mergeCell ref="B27:E27"/>
    <mergeCell ref="B28:E28"/>
    <mergeCell ref="B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58"/>
  </cols>
  <sheetData>
    <row r="1" customFormat="false" ht="17.35" hidden="false" customHeight="false" outlineLevel="0" collapsed="false">
      <c r="A1" s="18" t="s">
        <v>39</v>
      </c>
    </row>
    <row r="2" customFormat="false" ht="15" hidden="false" customHeight="false" outlineLevel="0" collapsed="false">
      <c r="A2" s="3" t="s">
        <v>40</v>
      </c>
    </row>
    <row r="4" customFormat="false" ht="26.85" hidden="false" customHeight="false" outlineLevel="0" collapsed="false">
      <c r="A4" s="6" t="s">
        <v>41</v>
      </c>
      <c r="B4" s="6" t="s">
        <v>42</v>
      </c>
      <c r="C4" s="6" t="s">
        <v>43</v>
      </c>
      <c r="D4" s="6" t="s">
        <v>44</v>
      </c>
      <c r="E4" s="6" t="s">
        <v>45</v>
      </c>
      <c r="F4" s="6" t="s">
        <v>46</v>
      </c>
      <c r="G4" s="6" t="s">
        <v>47</v>
      </c>
      <c r="H4" s="6" t="s">
        <v>7</v>
      </c>
      <c r="I4" s="6" t="s">
        <v>48</v>
      </c>
    </row>
    <row r="5" customFormat="false" ht="15" hidden="false" customHeight="false" outlineLevel="0" collapsed="false">
      <c r="A5" s="19" t="s">
        <v>49</v>
      </c>
      <c r="B5" s="20"/>
      <c r="C5" s="20"/>
      <c r="D5" s="20"/>
      <c r="E5" s="20"/>
      <c r="F5" s="20"/>
      <c r="G5" s="20"/>
      <c r="H5" s="20"/>
      <c r="I5" s="20"/>
    </row>
    <row r="6" customFormat="false" ht="22.35" hidden="false" customHeight="false" outlineLevel="0" collapsed="false">
      <c r="A6" s="21" t="s">
        <v>50</v>
      </c>
      <c r="B6" s="7" t="s">
        <v>51</v>
      </c>
      <c r="C6" s="21" t="s">
        <v>52</v>
      </c>
      <c r="D6" s="21" t="s">
        <v>53</v>
      </c>
      <c r="E6" s="22" t="n">
        <v>50</v>
      </c>
      <c r="F6" s="21" t="s">
        <v>54</v>
      </c>
      <c r="G6" s="23"/>
      <c r="H6" s="24" t="str">
        <f aca="false">IF(G6="","",E6*G6)</f>
        <v/>
      </c>
      <c r="I6" s="8" t="s">
        <v>55</v>
      </c>
    </row>
    <row r="7" customFormat="false" ht="15" hidden="false" customHeight="false" outlineLevel="0" collapsed="false">
      <c r="A7" s="21" t="s">
        <v>56</v>
      </c>
      <c r="B7" s="7" t="s">
        <v>57</v>
      </c>
      <c r="C7" s="21" t="s">
        <v>58</v>
      </c>
      <c r="D7" s="21" t="s">
        <v>59</v>
      </c>
      <c r="E7" s="25" t="n">
        <v>1</v>
      </c>
      <c r="F7" s="21" t="s">
        <v>60</v>
      </c>
      <c r="G7" s="23"/>
      <c r="H7" s="24" t="str">
        <f aca="false">IF(G7="","",E7*G7)</f>
        <v/>
      </c>
      <c r="I7" s="8" t="s">
        <v>61</v>
      </c>
    </row>
    <row r="8" customFormat="false" ht="23.85" hidden="false" customHeight="false" outlineLevel="0" collapsed="false">
      <c r="A8" s="21" t="s">
        <v>62</v>
      </c>
      <c r="B8" s="7" t="s">
        <v>63</v>
      </c>
      <c r="C8" s="21" t="s">
        <v>64</v>
      </c>
      <c r="D8" s="21" t="s">
        <v>65</v>
      </c>
      <c r="E8" s="25" t="n">
        <v>1</v>
      </c>
      <c r="F8" s="21" t="s">
        <v>66</v>
      </c>
      <c r="G8" s="23"/>
      <c r="H8" s="24" t="str">
        <f aca="false">IF(G8="","",E8*G8)</f>
        <v/>
      </c>
      <c r="I8" s="8" t="s">
        <v>67</v>
      </c>
    </row>
    <row r="9" customFormat="false" ht="32.8" hidden="false" customHeight="false" outlineLevel="0" collapsed="false">
      <c r="A9" s="21" t="s">
        <v>68</v>
      </c>
      <c r="B9" s="26" t="s">
        <v>69</v>
      </c>
      <c r="C9" s="21" t="s">
        <v>70</v>
      </c>
      <c r="D9" s="21" t="s">
        <v>59</v>
      </c>
      <c r="E9" s="25" t="n">
        <v>150</v>
      </c>
      <c r="F9" s="21" t="s">
        <v>54</v>
      </c>
      <c r="G9" s="23"/>
      <c r="H9" s="24" t="str">
        <f aca="false">IF(G9="","",E9*G9)</f>
        <v/>
      </c>
      <c r="I9" s="27" t="s">
        <v>71</v>
      </c>
    </row>
    <row r="10" customFormat="false" ht="22.35" hidden="false" customHeight="false" outlineLevel="0" collapsed="false">
      <c r="A10" s="21" t="s">
        <v>72</v>
      </c>
      <c r="B10" s="7" t="s">
        <v>73</v>
      </c>
      <c r="C10" s="21" t="s">
        <v>74</v>
      </c>
      <c r="D10" s="21" t="s">
        <v>65</v>
      </c>
      <c r="E10" s="25" t="n">
        <v>2</v>
      </c>
      <c r="F10" s="21" t="s">
        <v>60</v>
      </c>
      <c r="G10" s="23"/>
      <c r="H10" s="24" t="str">
        <f aca="false">IF(G10="","",E10*G10)</f>
        <v/>
      </c>
      <c r="I10" s="8" t="s">
        <v>75</v>
      </c>
    </row>
    <row r="11" customFormat="false" ht="15" hidden="false" customHeight="false" outlineLevel="0" collapsed="false">
      <c r="A11" s="21" t="s">
        <v>76</v>
      </c>
      <c r="B11" s="7" t="s">
        <v>77</v>
      </c>
      <c r="C11" s="21" t="s">
        <v>78</v>
      </c>
      <c r="D11" s="21" t="s">
        <v>53</v>
      </c>
      <c r="E11" s="22" t="n">
        <v>200</v>
      </c>
      <c r="F11" s="21" t="s">
        <v>54</v>
      </c>
      <c r="G11" s="23"/>
      <c r="H11" s="24" t="str">
        <f aca="false">IF(G11="","",E11*G11)</f>
        <v/>
      </c>
      <c r="I11" s="8" t="s">
        <v>79</v>
      </c>
    </row>
    <row r="12" customFormat="false" ht="15" hidden="false" customHeight="false" outlineLevel="0" collapsed="false">
      <c r="A12" s="21" t="s">
        <v>80</v>
      </c>
      <c r="B12" s="26" t="s">
        <v>81</v>
      </c>
      <c r="C12" s="21" t="s">
        <v>82</v>
      </c>
      <c r="D12" s="21" t="s">
        <v>53</v>
      </c>
      <c r="E12" s="22" t="n">
        <v>400</v>
      </c>
      <c r="F12" s="21" t="s">
        <v>54</v>
      </c>
      <c r="G12" s="23"/>
      <c r="H12" s="24" t="str">
        <f aca="false">IF(G12="","",E12*G12)</f>
        <v/>
      </c>
      <c r="I12" s="27" t="s">
        <v>83</v>
      </c>
    </row>
    <row r="13" customFormat="false" ht="15" hidden="false" customHeight="false" outlineLevel="0" collapsed="false">
      <c r="A13" s="21" t="s">
        <v>84</v>
      </c>
      <c r="B13" s="26" t="s">
        <v>85</v>
      </c>
      <c r="C13" s="21" t="s">
        <v>86</v>
      </c>
      <c r="D13" s="21" t="s">
        <v>65</v>
      </c>
      <c r="E13" s="25" t="n">
        <v>1</v>
      </c>
      <c r="F13" s="21" t="s">
        <v>60</v>
      </c>
      <c r="G13" s="23"/>
      <c r="H13" s="24" t="str">
        <f aca="false">IF(G13="","",E13*G13)</f>
        <v/>
      </c>
      <c r="I13" s="27" t="s">
        <v>87</v>
      </c>
    </row>
    <row r="14" customFormat="false" ht="22.35" hidden="false" customHeight="false" outlineLevel="0" collapsed="false">
      <c r="A14" s="21" t="s">
        <v>88</v>
      </c>
      <c r="B14" s="26" t="s">
        <v>89</v>
      </c>
      <c r="C14" s="21" t="s">
        <v>82</v>
      </c>
      <c r="D14" s="21" t="s">
        <v>65</v>
      </c>
      <c r="E14" s="25" t="n">
        <v>1</v>
      </c>
      <c r="F14" s="21" t="s">
        <v>60</v>
      </c>
      <c r="G14" s="23"/>
      <c r="H14" s="24" t="str">
        <f aca="false">IF(G14="","",E14*G14)</f>
        <v/>
      </c>
      <c r="I14" s="27" t="s">
        <v>90</v>
      </c>
    </row>
    <row r="15" customFormat="false" ht="23.85" hidden="false" customHeight="false" outlineLevel="0" collapsed="false">
      <c r="A15" s="21" t="s">
        <v>91</v>
      </c>
      <c r="B15" s="7" t="s">
        <v>92</v>
      </c>
      <c r="C15" s="21" t="s">
        <v>93</v>
      </c>
      <c r="D15" s="21" t="s">
        <v>65</v>
      </c>
      <c r="E15" s="25" t="n">
        <v>1</v>
      </c>
      <c r="F15" s="21" t="s">
        <v>66</v>
      </c>
      <c r="G15" s="23"/>
      <c r="H15" s="24" t="str">
        <f aca="false">IF(G15="","",E15*G15)</f>
        <v/>
      </c>
      <c r="I15" s="8" t="s">
        <v>94</v>
      </c>
    </row>
    <row r="16" customFormat="false" ht="15" hidden="false" customHeight="false" outlineLevel="0" collapsed="false">
      <c r="A16" s="28"/>
      <c r="B16" s="29" t="s">
        <v>95</v>
      </c>
      <c r="C16" s="28"/>
      <c r="D16" s="28"/>
      <c r="E16" s="28"/>
      <c r="F16" s="28"/>
      <c r="G16" s="28"/>
      <c r="H16" s="30" t="n">
        <f aca="false">SUM(H6:H15)</f>
        <v>0</v>
      </c>
      <c r="I16" s="28"/>
    </row>
    <row r="17" customFormat="false" ht="15" hidden="false" customHeight="false" outlineLevel="0" collapsed="false">
      <c r="A17" s="19" t="s">
        <v>96</v>
      </c>
      <c r="B17" s="20"/>
      <c r="C17" s="20"/>
      <c r="D17" s="20"/>
      <c r="E17" s="20"/>
      <c r="F17" s="20"/>
      <c r="G17" s="20"/>
      <c r="H17" s="20"/>
      <c r="I17" s="20"/>
    </row>
    <row r="18" customFormat="false" ht="23.85" hidden="false" customHeight="false" outlineLevel="0" collapsed="false">
      <c r="A18" s="21" t="s">
        <v>97</v>
      </c>
      <c r="B18" s="7" t="s">
        <v>98</v>
      </c>
      <c r="C18" s="21" t="s">
        <v>99</v>
      </c>
      <c r="D18" s="21" t="s">
        <v>59</v>
      </c>
      <c r="E18" s="25" t="n">
        <v>1</v>
      </c>
      <c r="F18" s="21" t="s">
        <v>60</v>
      </c>
      <c r="G18" s="23"/>
      <c r="H18" s="24" t="str">
        <f aca="false">IF(G18="","",E18*G18)</f>
        <v/>
      </c>
      <c r="I18" s="8" t="s">
        <v>100</v>
      </c>
    </row>
    <row r="19" customFormat="false" ht="15" hidden="false" customHeight="false" outlineLevel="0" collapsed="false">
      <c r="A19" s="21" t="s">
        <v>101</v>
      </c>
      <c r="B19" s="7" t="s">
        <v>102</v>
      </c>
      <c r="C19" s="21" t="s">
        <v>99</v>
      </c>
      <c r="D19" s="21" t="s">
        <v>65</v>
      </c>
      <c r="E19" s="25" t="n">
        <v>1</v>
      </c>
      <c r="F19" s="21" t="s">
        <v>60</v>
      </c>
      <c r="G19" s="23"/>
      <c r="H19" s="24" t="str">
        <f aca="false">IF(G19="","",E19*G19)</f>
        <v/>
      </c>
      <c r="I19" s="8" t="s">
        <v>103</v>
      </c>
    </row>
    <row r="20" customFormat="false" ht="22.35" hidden="false" customHeight="false" outlineLevel="0" collapsed="false">
      <c r="A20" s="21" t="s">
        <v>104</v>
      </c>
      <c r="B20" s="7" t="s">
        <v>105</v>
      </c>
      <c r="C20" s="21" t="s">
        <v>99</v>
      </c>
      <c r="D20" s="21" t="s">
        <v>65</v>
      </c>
      <c r="E20" s="25" t="n">
        <v>1</v>
      </c>
      <c r="F20" s="21" t="s">
        <v>60</v>
      </c>
      <c r="G20" s="23"/>
      <c r="H20" s="24" t="str">
        <f aca="false">IF(G20="","",E20*G20)</f>
        <v/>
      </c>
      <c r="I20" s="8" t="s">
        <v>106</v>
      </c>
    </row>
    <row r="21" customFormat="false" ht="23.85" hidden="false" customHeight="false" outlineLevel="0" collapsed="false">
      <c r="A21" s="21" t="s">
        <v>107</v>
      </c>
      <c r="B21" s="26" t="s">
        <v>108</v>
      </c>
      <c r="C21" s="21" t="s">
        <v>109</v>
      </c>
      <c r="D21" s="21" t="s">
        <v>53</v>
      </c>
      <c r="E21" s="22" t="n">
        <v>30</v>
      </c>
      <c r="F21" s="21" t="s">
        <v>54</v>
      </c>
      <c r="G21" s="23"/>
      <c r="H21" s="24" t="str">
        <f aca="false">IF(G21="","",E21*G21)</f>
        <v/>
      </c>
      <c r="I21" s="27" t="s">
        <v>110</v>
      </c>
    </row>
    <row r="22" customFormat="false" ht="22.35" hidden="false" customHeight="false" outlineLevel="0" collapsed="false">
      <c r="A22" s="21" t="s">
        <v>111</v>
      </c>
      <c r="B22" s="26" t="s">
        <v>112</v>
      </c>
      <c r="C22" s="21" t="s">
        <v>113</v>
      </c>
      <c r="D22" s="21" t="s">
        <v>53</v>
      </c>
      <c r="E22" s="22" t="n">
        <v>50</v>
      </c>
      <c r="F22" s="21" t="s">
        <v>54</v>
      </c>
      <c r="G22" s="23"/>
      <c r="H22" s="24" t="str">
        <f aca="false">IF(G22="","",E22*G22)</f>
        <v/>
      </c>
      <c r="I22" s="27" t="s">
        <v>114</v>
      </c>
    </row>
    <row r="23" customFormat="false" ht="15" hidden="false" customHeight="false" outlineLevel="0" collapsed="false">
      <c r="A23" s="28"/>
      <c r="B23" s="29" t="s">
        <v>115</v>
      </c>
      <c r="C23" s="28"/>
      <c r="D23" s="28"/>
      <c r="E23" s="28"/>
      <c r="F23" s="28"/>
      <c r="G23" s="28"/>
      <c r="H23" s="30" t="n">
        <f aca="false">SUM(H18:H22)</f>
        <v>0</v>
      </c>
      <c r="I23" s="28"/>
    </row>
    <row r="24" customFormat="false" ht="15" hidden="false" customHeight="false" outlineLevel="0" collapsed="false">
      <c r="A24" s="19" t="s">
        <v>116</v>
      </c>
      <c r="B24" s="20"/>
      <c r="C24" s="20"/>
      <c r="D24" s="20"/>
      <c r="E24" s="20"/>
      <c r="F24" s="20"/>
      <c r="G24" s="20"/>
      <c r="H24" s="20"/>
      <c r="I24" s="20"/>
    </row>
    <row r="25" customFormat="false" ht="23.85" hidden="false" customHeight="false" outlineLevel="0" collapsed="false">
      <c r="A25" s="21" t="s">
        <v>117</v>
      </c>
      <c r="B25" s="7" t="s">
        <v>118</v>
      </c>
      <c r="C25" s="21" t="s">
        <v>119</v>
      </c>
      <c r="D25" s="21" t="s">
        <v>65</v>
      </c>
      <c r="E25" s="25" t="n">
        <v>9</v>
      </c>
      <c r="F25" s="21" t="s">
        <v>60</v>
      </c>
      <c r="G25" s="23"/>
      <c r="H25" s="24" t="str">
        <f aca="false">IF(G25="","",E25*G25)</f>
        <v/>
      </c>
      <c r="I25" s="8" t="s">
        <v>120</v>
      </c>
    </row>
    <row r="26" customFormat="false" ht="23.85" hidden="false" customHeight="false" outlineLevel="0" collapsed="false">
      <c r="A26" s="21" t="s">
        <v>121</v>
      </c>
      <c r="B26" s="26" t="s">
        <v>122</v>
      </c>
      <c r="C26" s="21" t="s">
        <v>119</v>
      </c>
      <c r="D26" s="21" t="s">
        <v>65</v>
      </c>
      <c r="E26" s="25" t="n">
        <v>7</v>
      </c>
      <c r="F26" s="21" t="s">
        <v>60</v>
      </c>
      <c r="G26" s="23"/>
      <c r="H26" s="24" t="str">
        <f aca="false">IF(G26="","",E26*G26)</f>
        <v/>
      </c>
      <c r="I26" s="27" t="s">
        <v>123</v>
      </c>
    </row>
    <row r="27" customFormat="false" ht="23.85" hidden="false" customHeight="false" outlineLevel="0" collapsed="false">
      <c r="A27" s="21" t="s">
        <v>124</v>
      </c>
      <c r="B27" s="7" t="s">
        <v>125</v>
      </c>
      <c r="C27" s="21" t="s">
        <v>119</v>
      </c>
      <c r="D27" s="21" t="s">
        <v>65</v>
      </c>
      <c r="E27" s="25" t="n">
        <v>2</v>
      </c>
      <c r="F27" s="21" t="s">
        <v>60</v>
      </c>
      <c r="G27" s="23"/>
      <c r="H27" s="24" t="str">
        <f aca="false">IF(G27="","",E27*G27)</f>
        <v/>
      </c>
      <c r="I27" s="8" t="s">
        <v>126</v>
      </c>
    </row>
    <row r="28" customFormat="false" ht="23.85" hidden="false" customHeight="false" outlineLevel="0" collapsed="false">
      <c r="A28" s="21" t="s">
        <v>127</v>
      </c>
      <c r="B28" s="7" t="s">
        <v>128</v>
      </c>
      <c r="C28" s="21" t="s">
        <v>129</v>
      </c>
      <c r="D28" s="21" t="s">
        <v>65</v>
      </c>
      <c r="E28" s="25" t="n">
        <v>18</v>
      </c>
      <c r="F28" s="21" t="s">
        <v>60</v>
      </c>
      <c r="G28" s="23"/>
      <c r="H28" s="24" t="str">
        <f aca="false">IF(G28="","",E28*G28)</f>
        <v/>
      </c>
      <c r="I28" s="8" t="s">
        <v>130</v>
      </c>
    </row>
    <row r="29" customFormat="false" ht="15" hidden="false" customHeight="false" outlineLevel="0" collapsed="false">
      <c r="A29" s="21" t="s">
        <v>131</v>
      </c>
      <c r="B29" s="7" t="s">
        <v>132</v>
      </c>
      <c r="C29" s="21" t="s">
        <v>133</v>
      </c>
      <c r="D29" s="21" t="s">
        <v>65</v>
      </c>
      <c r="E29" s="25" t="n">
        <v>18</v>
      </c>
      <c r="F29" s="21" t="s">
        <v>60</v>
      </c>
      <c r="G29" s="23"/>
      <c r="H29" s="24" t="str">
        <f aca="false">IF(G29="","",E29*G29)</f>
        <v/>
      </c>
      <c r="I29" s="8" t="s">
        <v>134</v>
      </c>
    </row>
    <row r="30" customFormat="false" ht="23.85" hidden="false" customHeight="false" outlineLevel="0" collapsed="false">
      <c r="A30" s="21" t="s">
        <v>135</v>
      </c>
      <c r="B30" s="7" t="s">
        <v>136</v>
      </c>
      <c r="C30" s="21" t="s">
        <v>119</v>
      </c>
      <c r="D30" s="21" t="s">
        <v>65</v>
      </c>
      <c r="E30" s="25" t="n">
        <v>6</v>
      </c>
      <c r="F30" s="21" t="s">
        <v>60</v>
      </c>
      <c r="G30" s="23"/>
      <c r="H30" s="24" t="str">
        <f aca="false">IF(G30="","",E30*G30)</f>
        <v/>
      </c>
      <c r="I30" s="8" t="s">
        <v>137</v>
      </c>
    </row>
    <row r="31" customFormat="false" ht="15" hidden="false" customHeight="false" outlineLevel="0" collapsed="false">
      <c r="A31" s="21" t="s">
        <v>138</v>
      </c>
      <c r="B31" s="7" t="s">
        <v>139</v>
      </c>
      <c r="C31" s="21" t="s">
        <v>140</v>
      </c>
      <c r="D31" s="21" t="s">
        <v>65</v>
      </c>
      <c r="E31" s="25" t="n">
        <v>6</v>
      </c>
      <c r="F31" s="21" t="s">
        <v>60</v>
      </c>
      <c r="G31" s="23"/>
      <c r="H31" s="24" t="str">
        <f aca="false">IF(G31="","",E31*G31)</f>
        <v/>
      </c>
      <c r="I31" s="8" t="s">
        <v>141</v>
      </c>
    </row>
    <row r="32" customFormat="false" ht="23.85" hidden="false" customHeight="false" outlineLevel="0" collapsed="false">
      <c r="A32" s="21" t="s">
        <v>142</v>
      </c>
      <c r="B32" s="7" t="s">
        <v>143</v>
      </c>
      <c r="C32" s="21" t="s">
        <v>119</v>
      </c>
      <c r="D32" s="21" t="s">
        <v>65</v>
      </c>
      <c r="E32" s="25" t="n">
        <v>3</v>
      </c>
      <c r="F32" s="21" t="s">
        <v>60</v>
      </c>
      <c r="G32" s="23"/>
      <c r="H32" s="24" t="str">
        <f aca="false">IF(G32="","",E32*G32)</f>
        <v/>
      </c>
      <c r="I32" s="8" t="s">
        <v>144</v>
      </c>
    </row>
    <row r="33" customFormat="false" ht="23.85" hidden="false" customHeight="false" outlineLevel="0" collapsed="false">
      <c r="A33" s="21" t="s">
        <v>145</v>
      </c>
      <c r="B33" s="7" t="s">
        <v>146</v>
      </c>
      <c r="C33" s="21" t="s">
        <v>147</v>
      </c>
      <c r="D33" s="21" t="s">
        <v>65</v>
      </c>
      <c r="E33" s="25" t="n">
        <v>1</v>
      </c>
      <c r="F33" s="21" t="s">
        <v>60</v>
      </c>
      <c r="G33" s="23"/>
      <c r="H33" s="24" t="str">
        <f aca="false">IF(G33="","",E33*G33)</f>
        <v/>
      </c>
      <c r="I33" s="8" t="s">
        <v>148</v>
      </c>
    </row>
    <row r="34" customFormat="false" ht="32.8" hidden="false" customHeight="false" outlineLevel="0" collapsed="false">
      <c r="A34" s="21" t="s">
        <v>149</v>
      </c>
      <c r="B34" s="26" t="s">
        <v>150</v>
      </c>
      <c r="C34" s="21" t="s">
        <v>151</v>
      </c>
      <c r="D34" s="21" t="s">
        <v>152</v>
      </c>
      <c r="E34" s="22" t="n">
        <v>2400</v>
      </c>
      <c r="F34" s="21" t="s">
        <v>54</v>
      </c>
      <c r="G34" s="23"/>
      <c r="H34" s="24" t="str">
        <f aca="false">IF(G34="","",E34*G34)</f>
        <v/>
      </c>
      <c r="I34" s="27" t="s">
        <v>153</v>
      </c>
    </row>
    <row r="35" customFormat="false" ht="15" hidden="false" customHeight="false" outlineLevel="0" collapsed="false">
      <c r="A35" s="21" t="s">
        <v>154</v>
      </c>
      <c r="B35" s="26" t="s">
        <v>155</v>
      </c>
      <c r="C35" s="21" t="s">
        <v>156</v>
      </c>
      <c r="D35" s="21" t="s">
        <v>152</v>
      </c>
      <c r="E35" s="22" t="n">
        <v>1</v>
      </c>
      <c r="F35" s="21" t="s">
        <v>66</v>
      </c>
      <c r="G35" s="23"/>
      <c r="H35" s="24" t="str">
        <f aca="false">IF(G35="","",E35*G35)</f>
        <v/>
      </c>
      <c r="I35" s="27" t="s">
        <v>157</v>
      </c>
    </row>
    <row r="36" customFormat="false" ht="15" hidden="false" customHeight="false" outlineLevel="0" collapsed="false">
      <c r="A36" s="28"/>
      <c r="B36" s="29" t="s">
        <v>158</v>
      </c>
      <c r="C36" s="28"/>
      <c r="D36" s="28"/>
      <c r="E36" s="28"/>
      <c r="F36" s="28"/>
      <c r="G36" s="28"/>
      <c r="H36" s="30" t="n">
        <f aca="false">SUM(H25:H35)</f>
        <v>0</v>
      </c>
      <c r="I36" s="28"/>
    </row>
    <row r="37" customFormat="false" ht="15" hidden="false" customHeight="false" outlineLevel="0" collapsed="false">
      <c r="A37" s="19" t="s">
        <v>159</v>
      </c>
      <c r="B37" s="20"/>
      <c r="C37" s="20"/>
      <c r="D37" s="20"/>
      <c r="E37" s="20"/>
      <c r="F37" s="20"/>
      <c r="G37" s="20"/>
      <c r="H37" s="20"/>
      <c r="I37" s="20"/>
    </row>
    <row r="38" customFormat="false" ht="22.35" hidden="false" customHeight="false" outlineLevel="0" collapsed="false">
      <c r="A38" s="21" t="s">
        <v>160</v>
      </c>
      <c r="B38" s="26" t="s">
        <v>161</v>
      </c>
      <c r="C38" s="21" t="s">
        <v>162</v>
      </c>
      <c r="D38" s="21" t="s">
        <v>65</v>
      </c>
      <c r="E38" s="25" t="n">
        <v>3</v>
      </c>
      <c r="F38" s="21" t="s">
        <v>60</v>
      </c>
      <c r="G38" s="23"/>
      <c r="H38" s="24" t="str">
        <f aca="false">IF(G38="","",E38*G38)</f>
        <v/>
      </c>
      <c r="I38" s="27" t="s">
        <v>163</v>
      </c>
    </row>
    <row r="39" customFormat="false" ht="23.85" hidden="false" customHeight="false" outlineLevel="0" collapsed="false">
      <c r="A39" s="21" t="s">
        <v>164</v>
      </c>
      <c r="B39" s="26" t="s">
        <v>165</v>
      </c>
      <c r="C39" s="21" t="s">
        <v>162</v>
      </c>
      <c r="D39" s="21" t="s">
        <v>152</v>
      </c>
      <c r="E39" s="22" t="n">
        <v>700</v>
      </c>
      <c r="F39" s="21" t="s">
        <v>54</v>
      </c>
      <c r="G39" s="23"/>
      <c r="H39" s="24" t="str">
        <f aca="false">IF(G39="","",E39*G39)</f>
        <v/>
      </c>
      <c r="I39" s="27" t="s">
        <v>166</v>
      </c>
    </row>
    <row r="40" customFormat="false" ht="15" hidden="false" customHeight="false" outlineLevel="0" collapsed="false">
      <c r="A40" s="28"/>
      <c r="B40" s="29" t="s">
        <v>167</v>
      </c>
      <c r="C40" s="28"/>
      <c r="D40" s="28"/>
      <c r="E40" s="28"/>
      <c r="F40" s="28"/>
      <c r="G40" s="28"/>
      <c r="H40" s="30" t="n">
        <f aca="false">SUM(H38:H39)</f>
        <v>0</v>
      </c>
      <c r="I40" s="28"/>
    </row>
    <row r="42" customFormat="false" ht="15" hidden="false" customHeight="false" outlineLevel="0" collapsed="false">
      <c r="A42" s="11"/>
      <c r="B42" s="10" t="s">
        <v>168</v>
      </c>
      <c r="C42" s="11"/>
      <c r="D42" s="11"/>
      <c r="E42" s="11"/>
      <c r="F42" s="11"/>
      <c r="G42" s="11"/>
      <c r="H42" s="12" t="n">
        <f aca="false">H16+H23+H36+H40</f>
        <v>0</v>
      </c>
      <c r="I4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58"/>
  </cols>
  <sheetData>
    <row r="1" customFormat="false" ht="17.35" hidden="false" customHeight="false" outlineLevel="0" collapsed="false">
      <c r="A1" s="18" t="s">
        <v>169</v>
      </c>
    </row>
    <row r="2" customFormat="false" ht="15" hidden="false" customHeight="false" outlineLevel="0" collapsed="false">
      <c r="A2" s="3" t="s">
        <v>40</v>
      </c>
    </row>
    <row r="4" customFormat="false" ht="26.85" hidden="false" customHeight="false" outlineLevel="0" collapsed="false">
      <c r="A4" s="6" t="s">
        <v>41</v>
      </c>
      <c r="B4" s="6" t="s">
        <v>42</v>
      </c>
      <c r="C4" s="6" t="s">
        <v>43</v>
      </c>
      <c r="D4" s="6" t="s">
        <v>44</v>
      </c>
      <c r="E4" s="6" t="s">
        <v>45</v>
      </c>
      <c r="F4" s="6" t="s">
        <v>46</v>
      </c>
      <c r="G4" s="6" t="s">
        <v>47</v>
      </c>
      <c r="H4" s="6" t="s">
        <v>7</v>
      </c>
      <c r="I4" s="6" t="s">
        <v>48</v>
      </c>
    </row>
    <row r="5" customFormat="false" ht="15" hidden="false" customHeight="false" outlineLevel="0" collapsed="false">
      <c r="A5" s="19" t="s">
        <v>170</v>
      </c>
      <c r="B5" s="20"/>
      <c r="C5" s="20"/>
      <c r="D5" s="20"/>
      <c r="E5" s="20"/>
      <c r="F5" s="20"/>
      <c r="G5" s="20"/>
      <c r="H5" s="20"/>
      <c r="I5" s="20"/>
    </row>
    <row r="6" customFormat="false" ht="23.85" hidden="false" customHeight="false" outlineLevel="0" collapsed="false">
      <c r="A6" s="21" t="s">
        <v>50</v>
      </c>
      <c r="B6" s="7" t="s">
        <v>171</v>
      </c>
      <c r="C6" s="21" t="s">
        <v>172</v>
      </c>
      <c r="D6" s="21" t="s">
        <v>65</v>
      </c>
      <c r="E6" s="25" t="n">
        <v>4</v>
      </c>
      <c r="F6" s="21" t="s">
        <v>60</v>
      </c>
      <c r="G6" s="23"/>
      <c r="H6" s="24" t="str">
        <f aca="false">IF(G6="","",E6*G6)</f>
        <v/>
      </c>
      <c r="I6" s="8" t="s">
        <v>173</v>
      </c>
    </row>
    <row r="7" customFormat="false" ht="23.85" hidden="false" customHeight="false" outlineLevel="0" collapsed="false">
      <c r="A7" s="21" t="s">
        <v>56</v>
      </c>
      <c r="B7" s="7" t="s">
        <v>174</v>
      </c>
      <c r="C7" s="21" t="s">
        <v>175</v>
      </c>
      <c r="D7" s="21" t="s">
        <v>65</v>
      </c>
      <c r="E7" s="25" t="n">
        <v>5</v>
      </c>
      <c r="F7" s="21" t="s">
        <v>60</v>
      </c>
      <c r="G7" s="23"/>
      <c r="H7" s="24" t="str">
        <f aca="false">IF(G7="","",E7*G7)</f>
        <v/>
      </c>
      <c r="I7" s="8" t="s">
        <v>176</v>
      </c>
    </row>
    <row r="8" customFormat="false" ht="22.35" hidden="false" customHeight="false" outlineLevel="0" collapsed="false">
      <c r="A8" s="21" t="s">
        <v>62</v>
      </c>
      <c r="B8" s="26" t="s">
        <v>177</v>
      </c>
      <c r="C8" s="21" t="s">
        <v>178</v>
      </c>
      <c r="D8" s="21" t="s">
        <v>65</v>
      </c>
      <c r="E8" s="25" t="n">
        <v>1</v>
      </c>
      <c r="F8" s="21" t="s">
        <v>60</v>
      </c>
      <c r="G8" s="23"/>
      <c r="H8" s="24" t="str">
        <f aca="false">IF(G8="","",E8*G8)</f>
        <v/>
      </c>
      <c r="I8" s="27" t="s">
        <v>179</v>
      </c>
    </row>
    <row r="9" customFormat="false" ht="15" hidden="false" customHeight="false" outlineLevel="0" collapsed="false">
      <c r="A9" s="28"/>
      <c r="B9" s="29" t="s">
        <v>95</v>
      </c>
      <c r="C9" s="28"/>
      <c r="D9" s="28"/>
      <c r="E9" s="28"/>
      <c r="F9" s="28"/>
      <c r="G9" s="28"/>
      <c r="H9" s="30" t="n">
        <f aca="false">SUM(H6:H8)</f>
        <v>0</v>
      </c>
      <c r="I9" s="28"/>
    </row>
    <row r="10" customFormat="false" ht="15" hidden="false" customHeight="false" outlineLevel="0" collapsed="false">
      <c r="A10" s="19" t="s">
        <v>180</v>
      </c>
      <c r="B10" s="20"/>
      <c r="C10" s="20"/>
      <c r="D10" s="20"/>
      <c r="E10" s="20"/>
      <c r="F10" s="20"/>
      <c r="G10" s="20"/>
      <c r="H10" s="20"/>
      <c r="I10" s="20"/>
    </row>
    <row r="11" customFormat="false" ht="23.85" hidden="false" customHeight="false" outlineLevel="0" collapsed="false">
      <c r="A11" s="21" t="s">
        <v>97</v>
      </c>
      <c r="B11" s="7" t="s">
        <v>181</v>
      </c>
      <c r="C11" s="21" t="s">
        <v>182</v>
      </c>
      <c r="D11" s="21" t="s">
        <v>53</v>
      </c>
      <c r="E11" s="22" t="n">
        <v>355</v>
      </c>
      <c r="F11" s="21" t="s">
        <v>54</v>
      </c>
      <c r="G11" s="23"/>
      <c r="H11" s="24" t="str">
        <f aca="false">IF(G11="","",E11*G11)</f>
        <v/>
      </c>
      <c r="I11" s="8" t="s">
        <v>183</v>
      </c>
    </row>
    <row r="12" customFormat="false" ht="15" hidden="false" customHeight="false" outlineLevel="0" collapsed="false">
      <c r="A12" s="21" t="s">
        <v>101</v>
      </c>
      <c r="B12" s="7" t="s">
        <v>184</v>
      </c>
      <c r="C12" s="21" t="s">
        <v>185</v>
      </c>
      <c r="D12" s="21" t="s">
        <v>53</v>
      </c>
      <c r="E12" s="22" t="n">
        <v>220</v>
      </c>
      <c r="F12" s="21" t="s">
        <v>54</v>
      </c>
      <c r="G12" s="23"/>
      <c r="H12" s="24" t="str">
        <f aca="false">IF(G12="","",E12*G12)</f>
        <v/>
      </c>
      <c r="I12" s="8" t="s">
        <v>186</v>
      </c>
    </row>
    <row r="13" customFormat="false" ht="15" hidden="false" customHeight="false" outlineLevel="0" collapsed="false">
      <c r="A13" s="21" t="s">
        <v>104</v>
      </c>
      <c r="B13" s="7" t="s">
        <v>187</v>
      </c>
      <c r="C13" s="21" t="s">
        <v>188</v>
      </c>
      <c r="D13" s="21" t="s">
        <v>53</v>
      </c>
      <c r="E13" s="22" t="n">
        <v>165</v>
      </c>
      <c r="F13" s="21" t="s">
        <v>54</v>
      </c>
      <c r="G13" s="23"/>
      <c r="H13" s="24" t="str">
        <f aca="false">IF(G13="","",E13*G13)</f>
        <v/>
      </c>
      <c r="I13" s="8" t="s">
        <v>189</v>
      </c>
    </row>
    <row r="14" customFormat="false" ht="15" hidden="false" customHeight="false" outlineLevel="0" collapsed="false">
      <c r="A14" s="21" t="s">
        <v>107</v>
      </c>
      <c r="B14" s="7" t="s">
        <v>190</v>
      </c>
      <c r="C14" s="21" t="s">
        <v>191</v>
      </c>
      <c r="D14" s="21" t="s">
        <v>53</v>
      </c>
      <c r="E14" s="22" t="n">
        <v>90</v>
      </c>
      <c r="F14" s="21" t="s">
        <v>54</v>
      </c>
      <c r="G14" s="23"/>
      <c r="H14" s="24" t="str">
        <f aca="false">IF(G14="","",E14*G14)</f>
        <v/>
      </c>
      <c r="I14" s="8" t="s">
        <v>192</v>
      </c>
    </row>
    <row r="15" customFormat="false" ht="15" hidden="false" customHeight="false" outlineLevel="0" collapsed="false">
      <c r="A15" s="21" t="s">
        <v>111</v>
      </c>
      <c r="B15" s="7" t="s">
        <v>193</v>
      </c>
      <c r="C15" s="21" t="s">
        <v>185</v>
      </c>
      <c r="D15" s="21" t="s">
        <v>194</v>
      </c>
      <c r="E15" s="31" t="n">
        <v>123.1</v>
      </c>
      <c r="F15" s="21" t="s">
        <v>54</v>
      </c>
      <c r="G15" s="23"/>
      <c r="H15" s="24" t="str">
        <f aca="false">IF(G15="","",E15*G15)</f>
        <v/>
      </c>
      <c r="I15" s="8" t="s">
        <v>195</v>
      </c>
    </row>
    <row r="16" customFormat="false" ht="15" hidden="false" customHeight="false" outlineLevel="0" collapsed="false">
      <c r="A16" s="21" t="s">
        <v>196</v>
      </c>
      <c r="B16" s="7" t="s">
        <v>197</v>
      </c>
      <c r="C16" s="21" t="s">
        <v>198</v>
      </c>
      <c r="D16" s="21" t="s">
        <v>194</v>
      </c>
      <c r="E16" s="31" t="n">
        <v>13.7</v>
      </c>
      <c r="F16" s="21" t="s">
        <v>54</v>
      </c>
      <c r="G16" s="23"/>
      <c r="H16" s="24" t="str">
        <f aca="false">IF(G16="","",E16*G16)</f>
        <v/>
      </c>
      <c r="I16" s="8" t="s">
        <v>199</v>
      </c>
    </row>
    <row r="17" customFormat="false" ht="15" hidden="false" customHeight="false" outlineLevel="0" collapsed="false">
      <c r="A17" s="32" t="s">
        <v>200</v>
      </c>
      <c r="B17" s="33" t="s">
        <v>201</v>
      </c>
      <c r="C17" s="32"/>
      <c r="D17" s="32"/>
      <c r="E17" s="34" t="n">
        <f aca="false">SUM(E11:E16)</f>
        <v>966.8</v>
      </c>
      <c r="F17" s="32" t="s">
        <v>54</v>
      </c>
      <c r="G17" s="35"/>
      <c r="H17" s="36"/>
      <c r="I17" s="37"/>
    </row>
    <row r="18" customFormat="false" ht="15" hidden="false" customHeight="false" outlineLevel="0" collapsed="false">
      <c r="A18" s="21" t="s">
        <v>202</v>
      </c>
      <c r="B18" s="7" t="s">
        <v>203</v>
      </c>
      <c r="C18" s="21" t="s">
        <v>185</v>
      </c>
      <c r="D18" s="21" t="s">
        <v>53</v>
      </c>
      <c r="E18" s="22" t="n">
        <v>120</v>
      </c>
      <c r="F18" s="21" t="s">
        <v>54</v>
      </c>
      <c r="G18" s="23"/>
      <c r="H18" s="24" t="str">
        <f aca="false">IF(G18="","",E18*G18)</f>
        <v/>
      </c>
      <c r="I18" s="8" t="s">
        <v>186</v>
      </c>
    </row>
    <row r="19" customFormat="false" ht="15" hidden="false" customHeight="false" outlineLevel="0" collapsed="false">
      <c r="A19" s="21" t="s">
        <v>204</v>
      </c>
      <c r="B19" s="7" t="s">
        <v>205</v>
      </c>
      <c r="C19" s="21" t="s">
        <v>185</v>
      </c>
      <c r="D19" s="21" t="s">
        <v>194</v>
      </c>
      <c r="E19" s="31" t="n">
        <v>21.4</v>
      </c>
      <c r="F19" s="21" t="s">
        <v>54</v>
      </c>
      <c r="G19" s="23"/>
      <c r="H19" s="24" t="str">
        <f aca="false">IF(G19="","",E19*G19)</f>
        <v/>
      </c>
      <c r="I19" s="8" t="s">
        <v>206</v>
      </c>
    </row>
    <row r="20" customFormat="false" ht="15" hidden="false" customHeight="false" outlineLevel="0" collapsed="false">
      <c r="A20" s="32" t="s">
        <v>207</v>
      </c>
      <c r="B20" s="33" t="s">
        <v>208</v>
      </c>
      <c r="C20" s="32"/>
      <c r="D20" s="32"/>
      <c r="E20" s="34" t="n">
        <f aca="false">SUM(E18:E19)</f>
        <v>141.4</v>
      </c>
      <c r="F20" s="32" t="s">
        <v>54</v>
      </c>
      <c r="G20" s="35"/>
      <c r="H20" s="36"/>
      <c r="I20" s="37"/>
    </row>
    <row r="21" customFormat="false" ht="15" hidden="false" customHeight="false" outlineLevel="0" collapsed="false">
      <c r="A21" s="21" t="s">
        <v>209</v>
      </c>
      <c r="B21" s="26" t="s">
        <v>210</v>
      </c>
      <c r="C21" s="21" t="s">
        <v>185</v>
      </c>
      <c r="D21" s="21" t="s">
        <v>194</v>
      </c>
      <c r="E21" s="31" t="n">
        <v>101.5</v>
      </c>
      <c r="F21" s="21" t="s">
        <v>54</v>
      </c>
      <c r="G21" s="23"/>
      <c r="H21" s="24" t="str">
        <f aca="false">IF(G21="","",E21*G21)</f>
        <v/>
      </c>
      <c r="I21" s="27" t="s">
        <v>211</v>
      </c>
    </row>
    <row r="22" customFormat="false" ht="22.35" hidden="false" customHeight="false" outlineLevel="0" collapsed="false">
      <c r="A22" s="21" t="s">
        <v>212</v>
      </c>
      <c r="B22" s="26" t="s">
        <v>213</v>
      </c>
      <c r="C22" s="21" t="s">
        <v>185</v>
      </c>
      <c r="D22" s="21" t="s">
        <v>194</v>
      </c>
      <c r="E22" s="31" t="n">
        <v>197.3</v>
      </c>
      <c r="F22" s="21" t="s">
        <v>54</v>
      </c>
      <c r="G22" s="23"/>
      <c r="H22" s="24" t="str">
        <f aca="false">IF(G22="","",E22*G22)</f>
        <v/>
      </c>
      <c r="I22" s="27" t="s">
        <v>214</v>
      </c>
    </row>
    <row r="23" customFormat="false" ht="15" hidden="false" customHeight="false" outlineLevel="0" collapsed="false">
      <c r="A23" s="32" t="s">
        <v>215</v>
      </c>
      <c r="B23" s="33" t="s">
        <v>216</v>
      </c>
      <c r="C23" s="32"/>
      <c r="D23" s="32"/>
      <c r="E23" s="34" t="n">
        <f aca="false">SUM(E21:E22)</f>
        <v>298.8</v>
      </c>
      <c r="F23" s="32" t="s">
        <v>54</v>
      </c>
      <c r="G23" s="35"/>
      <c r="H23" s="36"/>
      <c r="I23" s="37"/>
    </row>
    <row r="24" customFormat="false" ht="15" hidden="false" customHeight="false" outlineLevel="0" collapsed="false">
      <c r="A24" s="28"/>
      <c r="B24" s="29" t="s">
        <v>217</v>
      </c>
      <c r="C24" s="28"/>
      <c r="D24" s="28"/>
      <c r="E24" s="28"/>
      <c r="F24" s="28"/>
      <c r="G24" s="28"/>
      <c r="H24" s="30" t="n">
        <f aca="false">SUM(H11:H23)</f>
        <v>0</v>
      </c>
      <c r="I24" s="28"/>
    </row>
    <row r="25" customFormat="false" ht="15" hidden="false" customHeight="false" outlineLevel="0" collapsed="false">
      <c r="A25" s="19" t="s">
        <v>218</v>
      </c>
      <c r="B25" s="20"/>
      <c r="C25" s="20"/>
      <c r="D25" s="20"/>
      <c r="E25" s="20"/>
      <c r="F25" s="20"/>
      <c r="G25" s="20"/>
      <c r="H25" s="20"/>
      <c r="I25" s="20"/>
    </row>
    <row r="26" customFormat="false" ht="23.85" hidden="false" customHeight="false" outlineLevel="0" collapsed="false">
      <c r="A26" s="21" t="s">
        <v>117</v>
      </c>
      <c r="B26" s="7" t="s">
        <v>219</v>
      </c>
      <c r="C26" s="21" t="s">
        <v>220</v>
      </c>
      <c r="D26" s="21" t="s">
        <v>221</v>
      </c>
      <c r="E26" s="25" t="n">
        <f aca="false">SUM(E11:E16)+SUM(E18:E19)+SUM(E21:E22)</f>
        <v>1407</v>
      </c>
      <c r="F26" s="21" t="s">
        <v>54</v>
      </c>
      <c r="G26" s="23"/>
      <c r="H26" s="38" t="str">
        <f aca="false">IF(G26="","",E26*G26)</f>
        <v/>
      </c>
      <c r="I26" s="8" t="s">
        <v>222</v>
      </c>
    </row>
    <row r="27" customFormat="false" ht="15" hidden="false" customHeight="false" outlineLevel="0" collapsed="false">
      <c r="A27" s="21" t="s">
        <v>121</v>
      </c>
      <c r="B27" s="7" t="s">
        <v>223</v>
      </c>
      <c r="C27" s="21" t="s">
        <v>224</v>
      </c>
      <c r="D27" s="21" t="s">
        <v>221</v>
      </c>
      <c r="E27" s="31" t="n">
        <f aca="false">ROUND(SUM(E11:E16)*2.56/27,1)</f>
        <v>91.7</v>
      </c>
      <c r="F27" s="21" t="s">
        <v>225</v>
      </c>
      <c r="G27" s="23"/>
      <c r="H27" s="38" t="str">
        <f aca="false">IF(G27="","",E27*G27)</f>
        <v/>
      </c>
      <c r="I27" s="8" t="s">
        <v>226</v>
      </c>
    </row>
    <row r="28" customFormat="false" ht="15" hidden="false" customHeight="false" outlineLevel="0" collapsed="false">
      <c r="A28" s="21" t="s">
        <v>124</v>
      </c>
      <c r="B28" s="7" t="s">
        <v>227</v>
      </c>
      <c r="C28" s="21" t="s">
        <v>228</v>
      </c>
      <c r="D28" s="21" t="s">
        <v>221</v>
      </c>
      <c r="E28" s="31" t="n">
        <f aca="false">ROUND(SUM(E18:E19)*4.34/27,1)</f>
        <v>22.7</v>
      </c>
      <c r="F28" s="21" t="s">
        <v>225</v>
      </c>
      <c r="G28" s="23"/>
      <c r="H28" s="38" t="str">
        <f aca="false">IF(G28="","",E28*G28)</f>
        <v/>
      </c>
      <c r="I28" s="8" t="s">
        <v>229</v>
      </c>
    </row>
    <row r="29" customFormat="false" ht="23.85" hidden="false" customHeight="false" outlineLevel="0" collapsed="false">
      <c r="A29" s="21" t="s">
        <v>127</v>
      </c>
      <c r="B29" s="26" t="s">
        <v>230</v>
      </c>
      <c r="C29" s="21" t="s">
        <v>231</v>
      </c>
      <c r="D29" s="21" t="s">
        <v>221</v>
      </c>
      <c r="E29" s="31" t="n">
        <f aca="false">ROUND(SUM(E21:E22)*0.83/27,1)</f>
        <v>9.2</v>
      </c>
      <c r="F29" s="21" t="s">
        <v>225</v>
      </c>
      <c r="G29" s="23"/>
      <c r="H29" s="38" t="str">
        <f aca="false">IF(G29="","",E29*G29)</f>
        <v/>
      </c>
      <c r="I29" s="27" t="s">
        <v>232</v>
      </c>
    </row>
    <row r="30" customFormat="false" ht="23.85" hidden="false" customHeight="false" outlineLevel="0" collapsed="false">
      <c r="A30" s="21" t="s">
        <v>131</v>
      </c>
      <c r="B30" s="7" t="s">
        <v>233</v>
      </c>
      <c r="C30" s="21" t="s">
        <v>234</v>
      </c>
      <c r="D30" s="21" t="s">
        <v>152</v>
      </c>
      <c r="E30" s="22" t="n">
        <v>1</v>
      </c>
      <c r="F30" s="21" t="s">
        <v>66</v>
      </c>
      <c r="G30" s="23"/>
      <c r="H30" s="24" t="str">
        <f aca="false">IF(G30="","",E30*G30)</f>
        <v/>
      </c>
      <c r="I30" s="8" t="s">
        <v>235</v>
      </c>
    </row>
    <row r="31" customFormat="false" ht="23.85" hidden="false" customHeight="false" outlineLevel="0" collapsed="false">
      <c r="A31" s="21" t="s">
        <v>135</v>
      </c>
      <c r="B31" s="7" t="s">
        <v>236</v>
      </c>
      <c r="C31" s="21" t="s">
        <v>237</v>
      </c>
      <c r="D31" s="21" t="s">
        <v>152</v>
      </c>
      <c r="E31" s="22" t="n">
        <v>1</v>
      </c>
      <c r="F31" s="21" t="s">
        <v>66</v>
      </c>
      <c r="G31" s="23"/>
      <c r="H31" s="24" t="str">
        <f aca="false">IF(G31="","",E31*G31)</f>
        <v/>
      </c>
      <c r="I31" s="8"/>
    </row>
    <row r="32" customFormat="false" ht="15" hidden="false" customHeight="false" outlineLevel="0" collapsed="false">
      <c r="A32" s="28"/>
      <c r="B32" s="29" t="s">
        <v>158</v>
      </c>
      <c r="C32" s="28"/>
      <c r="D32" s="28"/>
      <c r="E32" s="28"/>
      <c r="F32" s="28"/>
      <c r="G32" s="28"/>
      <c r="H32" s="30" t="n">
        <f aca="false">SUM(H26:H31)</f>
        <v>0</v>
      </c>
      <c r="I32" s="28"/>
    </row>
    <row r="33" customFormat="false" ht="15" hidden="false" customHeight="false" outlineLevel="0" collapsed="false">
      <c r="A33" s="19" t="s">
        <v>238</v>
      </c>
      <c r="B33" s="20"/>
      <c r="C33" s="20"/>
      <c r="D33" s="20"/>
      <c r="E33" s="20"/>
      <c r="F33" s="20"/>
      <c r="G33" s="20"/>
      <c r="H33" s="20"/>
      <c r="I33" s="20"/>
    </row>
    <row r="34" customFormat="false" ht="23.85" hidden="false" customHeight="false" outlineLevel="0" collapsed="false">
      <c r="A34" s="21" t="s">
        <v>160</v>
      </c>
      <c r="B34" s="26" t="s">
        <v>239</v>
      </c>
      <c r="C34" s="21" t="s">
        <v>240</v>
      </c>
      <c r="D34" s="21" t="s">
        <v>53</v>
      </c>
      <c r="E34" s="22" t="n">
        <v>1600</v>
      </c>
      <c r="F34" s="21" t="s">
        <v>54</v>
      </c>
      <c r="G34" s="23"/>
      <c r="H34" s="24" t="str">
        <f aca="false">IF(G34="","",E34*G34)</f>
        <v/>
      </c>
      <c r="I34" s="27" t="s">
        <v>241</v>
      </c>
    </row>
    <row r="35" customFormat="false" ht="15" hidden="false" customHeight="false" outlineLevel="0" collapsed="false">
      <c r="A35" s="21" t="s">
        <v>164</v>
      </c>
      <c r="B35" s="7" t="s">
        <v>242</v>
      </c>
      <c r="C35" s="21" t="s">
        <v>243</v>
      </c>
      <c r="D35" s="21" t="s">
        <v>152</v>
      </c>
      <c r="E35" s="22" t="n">
        <v>1</v>
      </c>
      <c r="F35" s="21" t="s">
        <v>66</v>
      </c>
      <c r="G35" s="23"/>
      <c r="H35" s="24" t="str">
        <f aca="false">IF(G35="","",E35*G35)</f>
        <v/>
      </c>
      <c r="I35" s="8" t="s">
        <v>244</v>
      </c>
    </row>
    <row r="36" customFormat="false" ht="23.85" hidden="false" customHeight="false" outlineLevel="0" collapsed="false">
      <c r="A36" s="21" t="s">
        <v>245</v>
      </c>
      <c r="B36" s="26" t="s">
        <v>246</v>
      </c>
      <c r="C36" s="21" t="s">
        <v>247</v>
      </c>
      <c r="D36" s="21" t="s">
        <v>152</v>
      </c>
      <c r="E36" s="22" t="n">
        <v>1</v>
      </c>
      <c r="F36" s="21" t="s">
        <v>66</v>
      </c>
      <c r="G36" s="23"/>
      <c r="H36" s="24" t="str">
        <f aca="false">IF(G36="","",E36*G36)</f>
        <v/>
      </c>
      <c r="I36" s="27" t="s">
        <v>248</v>
      </c>
    </row>
    <row r="37" customFormat="false" ht="22.35" hidden="false" customHeight="false" outlineLevel="0" collapsed="false">
      <c r="A37" s="21" t="s">
        <v>249</v>
      </c>
      <c r="B37" s="7" t="s">
        <v>250</v>
      </c>
      <c r="C37" s="21" t="s">
        <v>243</v>
      </c>
      <c r="D37" s="21" t="s">
        <v>59</v>
      </c>
      <c r="E37" s="25" t="n">
        <v>1</v>
      </c>
      <c r="F37" s="21" t="s">
        <v>66</v>
      </c>
      <c r="G37" s="23"/>
      <c r="H37" s="24" t="str">
        <f aca="false">IF(G37="","",E37*G37)</f>
        <v/>
      </c>
      <c r="I37" s="8" t="s">
        <v>251</v>
      </c>
    </row>
    <row r="38" customFormat="false" ht="15" hidden="false" customHeight="false" outlineLevel="0" collapsed="false">
      <c r="A38" s="28"/>
      <c r="B38" s="29" t="s">
        <v>167</v>
      </c>
      <c r="C38" s="28"/>
      <c r="D38" s="28"/>
      <c r="E38" s="28"/>
      <c r="F38" s="28"/>
      <c r="G38" s="28"/>
      <c r="H38" s="30" t="n">
        <f aca="false">SUM(H34:H37)</f>
        <v>0</v>
      </c>
      <c r="I38" s="28"/>
    </row>
    <row r="40" customFormat="false" ht="15" hidden="false" customHeight="false" outlineLevel="0" collapsed="false">
      <c r="A40" s="11"/>
      <c r="B40" s="10" t="s">
        <v>252</v>
      </c>
      <c r="C40" s="11"/>
      <c r="D40" s="11"/>
      <c r="E40" s="11"/>
      <c r="F40" s="11"/>
      <c r="G40" s="11"/>
      <c r="H40" s="12" t="n">
        <f aca="false">H9+H24+H32+H38</f>
        <v>0</v>
      </c>
      <c r="I4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58"/>
  </cols>
  <sheetData>
    <row r="1" customFormat="false" ht="17.35" hidden="false" customHeight="false" outlineLevel="0" collapsed="false">
      <c r="A1" s="18" t="s">
        <v>253</v>
      </c>
    </row>
    <row r="2" customFormat="false" ht="15" hidden="false" customHeight="false" outlineLevel="0" collapsed="false">
      <c r="A2" s="3" t="s">
        <v>40</v>
      </c>
    </row>
    <row r="4" customFormat="false" ht="26.85" hidden="false" customHeight="false" outlineLevel="0" collapsed="false">
      <c r="A4" s="6" t="s">
        <v>41</v>
      </c>
      <c r="B4" s="6" t="s">
        <v>42</v>
      </c>
      <c r="C4" s="6" t="s">
        <v>43</v>
      </c>
      <c r="D4" s="6" t="s">
        <v>44</v>
      </c>
      <c r="E4" s="6" t="s">
        <v>45</v>
      </c>
      <c r="F4" s="6" t="s">
        <v>46</v>
      </c>
      <c r="G4" s="6" t="s">
        <v>47</v>
      </c>
      <c r="H4" s="6" t="s">
        <v>7</v>
      </c>
      <c r="I4" s="6" t="s">
        <v>48</v>
      </c>
    </row>
    <row r="5" customFormat="false" ht="15" hidden="false" customHeight="false" outlineLevel="0" collapsed="false">
      <c r="A5" s="19" t="s">
        <v>254</v>
      </c>
      <c r="B5" s="20"/>
      <c r="C5" s="20"/>
      <c r="D5" s="20"/>
      <c r="E5" s="20"/>
      <c r="F5" s="20"/>
      <c r="G5" s="20"/>
      <c r="H5" s="20"/>
      <c r="I5" s="20"/>
    </row>
    <row r="6" customFormat="false" ht="35.05" hidden="false" customHeight="false" outlineLevel="0" collapsed="false">
      <c r="A6" s="21" t="s">
        <v>50</v>
      </c>
      <c r="B6" s="26" t="s">
        <v>255</v>
      </c>
      <c r="C6" s="21" t="s">
        <v>256</v>
      </c>
      <c r="D6" s="21" t="s">
        <v>65</v>
      </c>
      <c r="E6" s="25" t="n">
        <v>2</v>
      </c>
      <c r="F6" s="21" t="s">
        <v>60</v>
      </c>
      <c r="G6" s="23"/>
      <c r="H6" s="24" t="str">
        <f aca="false">IF(G6="","",E6*G6)</f>
        <v/>
      </c>
      <c r="I6" s="27" t="s">
        <v>257</v>
      </c>
    </row>
    <row r="7" customFormat="false" ht="23.85" hidden="false" customHeight="false" outlineLevel="0" collapsed="false">
      <c r="A7" s="21" t="s">
        <v>56</v>
      </c>
      <c r="B7" s="7" t="s">
        <v>258</v>
      </c>
      <c r="C7" s="21" t="s">
        <v>178</v>
      </c>
      <c r="D7" s="21" t="s">
        <v>65</v>
      </c>
      <c r="E7" s="25" t="n">
        <v>1</v>
      </c>
      <c r="F7" s="21" t="s">
        <v>60</v>
      </c>
      <c r="G7" s="23"/>
      <c r="H7" s="24" t="str">
        <f aca="false">IF(G7="","",E7*G7)</f>
        <v/>
      </c>
      <c r="I7" s="8"/>
    </row>
    <row r="8" customFormat="false" ht="15" hidden="false" customHeight="false" outlineLevel="0" collapsed="false">
      <c r="A8" s="21" t="s">
        <v>62</v>
      </c>
      <c r="B8" s="26" t="s">
        <v>259</v>
      </c>
      <c r="C8" s="21" t="s">
        <v>178</v>
      </c>
      <c r="D8" s="21" t="s">
        <v>65</v>
      </c>
      <c r="E8" s="25" t="n">
        <v>1</v>
      </c>
      <c r="F8" s="21" t="s">
        <v>60</v>
      </c>
      <c r="G8" s="23"/>
      <c r="H8" s="24" t="str">
        <f aca="false">IF(G8="","",E8*G8)</f>
        <v/>
      </c>
      <c r="I8" s="27" t="s">
        <v>260</v>
      </c>
    </row>
    <row r="9" customFormat="false" ht="22.35" hidden="false" customHeight="false" outlineLevel="0" collapsed="false">
      <c r="A9" s="21" t="s">
        <v>68</v>
      </c>
      <c r="B9" s="26" t="s">
        <v>261</v>
      </c>
      <c r="C9" s="21" t="s">
        <v>262</v>
      </c>
      <c r="D9" s="21" t="s">
        <v>65</v>
      </c>
      <c r="E9" s="25" t="n">
        <v>1</v>
      </c>
      <c r="F9" s="21" t="s">
        <v>60</v>
      </c>
      <c r="G9" s="23"/>
      <c r="H9" s="24" t="str">
        <f aca="false">IF(G9="","",E9*G9)</f>
        <v/>
      </c>
      <c r="I9" s="27" t="s">
        <v>263</v>
      </c>
    </row>
    <row r="10" customFormat="false" ht="23.85" hidden="false" customHeight="false" outlineLevel="0" collapsed="false">
      <c r="A10" s="21" t="s">
        <v>72</v>
      </c>
      <c r="B10" s="7" t="s">
        <v>264</v>
      </c>
      <c r="C10" s="21" t="s">
        <v>265</v>
      </c>
      <c r="D10" s="21" t="s">
        <v>65</v>
      </c>
      <c r="E10" s="25" t="n">
        <v>3</v>
      </c>
      <c r="F10" s="21" t="s">
        <v>60</v>
      </c>
      <c r="G10" s="23"/>
      <c r="H10" s="24" t="str">
        <f aca="false">IF(G10="","",E10*G10)</f>
        <v/>
      </c>
      <c r="I10" s="8" t="s">
        <v>266</v>
      </c>
    </row>
    <row r="11" customFormat="false" ht="15" hidden="false" customHeight="false" outlineLevel="0" collapsed="false">
      <c r="A11" s="21" t="s">
        <v>76</v>
      </c>
      <c r="B11" s="7" t="s">
        <v>267</v>
      </c>
      <c r="C11" s="21" t="s">
        <v>265</v>
      </c>
      <c r="D11" s="21" t="s">
        <v>65</v>
      </c>
      <c r="E11" s="25" t="n">
        <v>3</v>
      </c>
      <c r="F11" s="21" t="s">
        <v>60</v>
      </c>
      <c r="G11" s="23"/>
      <c r="H11" s="24" t="str">
        <f aca="false">IF(G11="","",E11*G11)</f>
        <v/>
      </c>
      <c r="I11" s="8"/>
    </row>
    <row r="12" customFormat="false" ht="23.85" hidden="false" customHeight="false" outlineLevel="0" collapsed="false">
      <c r="A12" s="21" t="s">
        <v>80</v>
      </c>
      <c r="B12" s="26" t="s">
        <v>268</v>
      </c>
      <c r="C12" s="21" t="s">
        <v>269</v>
      </c>
      <c r="D12" s="21" t="s">
        <v>65</v>
      </c>
      <c r="E12" s="25" t="n">
        <v>3</v>
      </c>
      <c r="F12" s="21" t="s">
        <v>60</v>
      </c>
      <c r="G12" s="23"/>
      <c r="H12" s="24" t="str">
        <f aca="false">IF(G12="","",E12*G12)</f>
        <v/>
      </c>
      <c r="I12" s="27" t="s">
        <v>270</v>
      </c>
    </row>
    <row r="13" customFormat="false" ht="23.85" hidden="false" customHeight="false" outlineLevel="0" collapsed="false">
      <c r="A13" s="21" t="s">
        <v>84</v>
      </c>
      <c r="B13" s="7" t="s">
        <v>271</v>
      </c>
      <c r="C13" s="21" t="s">
        <v>272</v>
      </c>
      <c r="D13" s="21" t="s">
        <v>65</v>
      </c>
      <c r="E13" s="25" t="n">
        <v>2</v>
      </c>
      <c r="F13" s="21" t="s">
        <v>60</v>
      </c>
      <c r="G13" s="23"/>
      <c r="H13" s="24" t="str">
        <f aca="false">IF(G13="","",E13*G13)</f>
        <v/>
      </c>
      <c r="I13" s="8" t="s">
        <v>273</v>
      </c>
    </row>
    <row r="14" customFormat="false" ht="15" hidden="false" customHeight="false" outlineLevel="0" collapsed="false">
      <c r="A14" s="28"/>
      <c r="B14" s="29" t="s">
        <v>95</v>
      </c>
      <c r="C14" s="28"/>
      <c r="D14" s="28"/>
      <c r="E14" s="28"/>
      <c r="F14" s="28"/>
      <c r="G14" s="28"/>
      <c r="H14" s="30" t="n">
        <f aca="false">SUM(H6:H13)</f>
        <v>0</v>
      </c>
      <c r="I14" s="28"/>
    </row>
    <row r="15" customFormat="false" ht="15" hidden="false" customHeight="false" outlineLevel="0" collapsed="false">
      <c r="A15" s="19" t="s">
        <v>274</v>
      </c>
      <c r="B15" s="20"/>
      <c r="C15" s="20"/>
      <c r="D15" s="20"/>
      <c r="E15" s="20"/>
      <c r="F15" s="20"/>
      <c r="G15" s="20"/>
      <c r="H15" s="20"/>
      <c r="I15" s="20"/>
    </row>
    <row r="16" customFormat="false" ht="15" hidden="false" customHeight="false" outlineLevel="0" collapsed="false">
      <c r="A16" s="21" t="s">
        <v>97</v>
      </c>
      <c r="B16" s="7" t="s">
        <v>275</v>
      </c>
      <c r="C16" s="21" t="s">
        <v>276</v>
      </c>
      <c r="D16" s="21" t="s">
        <v>65</v>
      </c>
      <c r="E16" s="25" t="n">
        <v>1</v>
      </c>
      <c r="F16" s="21" t="s">
        <v>60</v>
      </c>
      <c r="G16" s="23"/>
      <c r="H16" s="24" t="str">
        <f aca="false">IF(G16="","",E16*G16)</f>
        <v/>
      </c>
      <c r="I16" s="8"/>
    </row>
    <row r="17" customFormat="false" ht="15" hidden="false" customHeight="false" outlineLevel="0" collapsed="false">
      <c r="A17" s="21" t="s">
        <v>101</v>
      </c>
      <c r="B17" s="26" t="s">
        <v>277</v>
      </c>
      <c r="C17" s="21" t="s">
        <v>276</v>
      </c>
      <c r="D17" s="21" t="s">
        <v>65</v>
      </c>
      <c r="E17" s="25" t="n">
        <v>1</v>
      </c>
      <c r="F17" s="21" t="s">
        <v>60</v>
      </c>
      <c r="G17" s="23"/>
      <c r="H17" s="24" t="str">
        <f aca="false">IF(G17="","",E17*G17)</f>
        <v/>
      </c>
      <c r="I17" s="27" t="s">
        <v>278</v>
      </c>
    </row>
    <row r="18" customFormat="false" ht="15" hidden="false" customHeight="false" outlineLevel="0" collapsed="false">
      <c r="A18" s="21" t="s">
        <v>104</v>
      </c>
      <c r="B18" s="7" t="s">
        <v>279</v>
      </c>
      <c r="C18" s="21" t="s">
        <v>276</v>
      </c>
      <c r="D18" s="21" t="s">
        <v>65</v>
      </c>
      <c r="E18" s="25" t="n">
        <v>1</v>
      </c>
      <c r="F18" s="21" t="s">
        <v>60</v>
      </c>
      <c r="G18" s="23"/>
      <c r="H18" s="24" t="str">
        <f aca="false">IF(G18="","",E18*G18)</f>
        <v/>
      </c>
      <c r="I18" s="8"/>
    </row>
    <row r="19" customFormat="false" ht="15" hidden="false" customHeight="false" outlineLevel="0" collapsed="false">
      <c r="A19" s="21" t="s">
        <v>107</v>
      </c>
      <c r="B19" s="7" t="s">
        <v>280</v>
      </c>
      <c r="C19" s="21" t="s">
        <v>281</v>
      </c>
      <c r="D19" s="21" t="s">
        <v>65</v>
      </c>
      <c r="E19" s="25" t="n">
        <v>1</v>
      </c>
      <c r="F19" s="21" t="s">
        <v>66</v>
      </c>
      <c r="G19" s="23"/>
      <c r="H19" s="24" t="str">
        <f aca="false">IF(G19="","",E19*G19)</f>
        <v/>
      </c>
      <c r="I19" s="8" t="s">
        <v>282</v>
      </c>
    </row>
    <row r="20" customFormat="false" ht="15" hidden="false" customHeight="false" outlineLevel="0" collapsed="false">
      <c r="A20" s="21" t="s">
        <v>111</v>
      </c>
      <c r="B20" s="7" t="s">
        <v>283</v>
      </c>
      <c r="C20" s="21" t="s">
        <v>265</v>
      </c>
      <c r="D20" s="21" t="s">
        <v>65</v>
      </c>
      <c r="E20" s="25" t="n">
        <v>1</v>
      </c>
      <c r="F20" s="21" t="s">
        <v>60</v>
      </c>
      <c r="G20" s="23"/>
      <c r="H20" s="24" t="str">
        <f aca="false">IF(G20="","",E20*G20)</f>
        <v/>
      </c>
      <c r="I20" s="8" t="s">
        <v>284</v>
      </c>
    </row>
    <row r="21" customFormat="false" ht="15" hidden="false" customHeight="false" outlineLevel="0" collapsed="false">
      <c r="A21" s="21" t="s">
        <v>196</v>
      </c>
      <c r="B21" s="7" t="s">
        <v>285</v>
      </c>
      <c r="C21" s="21" t="s">
        <v>286</v>
      </c>
      <c r="D21" s="21" t="s">
        <v>59</v>
      </c>
      <c r="E21" s="25" t="n">
        <v>1</v>
      </c>
      <c r="F21" s="21" t="s">
        <v>60</v>
      </c>
      <c r="G21" s="23"/>
      <c r="H21" s="24" t="str">
        <f aca="false">IF(G21="","",E21*G21)</f>
        <v/>
      </c>
      <c r="I21" s="8"/>
    </row>
    <row r="22" customFormat="false" ht="22.35" hidden="false" customHeight="false" outlineLevel="0" collapsed="false">
      <c r="A22" s="21" t="s">
        <v>200</v>
      </c>
      <c r="B22" s="26" t="s">
        <v>287</v>
      </c>
      <c r="C22" s="21" t="s">
        <v>288</v>
      </c>
      <c r="D22" s="21" t="s">
        <v>289</v>
      </c>
      <c r="E22" s="25" t="n">
        <v>0</v>
      </c>
      <c r="F22" s="21" t="s">
        <v>60</v>
      </c>
      <c r="G22" s="39"/>
      <c r="H22" s="38"/>
      <c r="I22" s="27" t="s">
        <v>290</v>
      </c>
    </row>
    <row r="23" customFormat="false" ht="15" hidden="false" customHeight="false" outlineLevel="0" collapsed="false">
      <c r="A23" s="21" t="s">
        <v>202</v>
      </c>
      <c r="B23" s="7" t="s">
        <v>291</v>
      </c>
      <c r="C23" s="21" t="s">
        <v>288</v>
      </c>
      <c r="D23" s="21" t="s">
        <v>152</v>
      </c>
      <c r="E23" s="22" t="n">
        <v>1</v>
      </c>
      <c r="F23" s="21" t="s">
        <v>66</v>
      </c>
      <c r="G23" s="23"/>
      <c r="H23" s="24" t="str">
        <f aca="false">IF(G23="","",E23*G23)</f>
        <v/>
      </c>
      <c r="I23" s="8" t="s">
        <v>292</v>
      </c>
    </row>
    <row r="24" customFormat="false" ht="15" hidden="false" customHeight="false" outlineLevel="0" collapsed="false">
      <c r="A24" s="28"/>
      <c r="B24" s="29" t="s">
        <v>115</v>
      </c>
      <c r="C24" s="28"/>
      <c r="D24" s="28"/>
      <c r="E24" s="28"/>
      <c r="F24" s="28"/>
      <c r="G24" s="28"/>
      <c r="H24" s="30" t="n">
        <f aca="false">SUM(H16:H23)</f>
        <v>0</v>
      </c>
      <c r="I24" s="28"/>
    </row>
    <row r="25" customFormat="false" ht="15" hidden="false" customHeight="false" outlineLevel="0" collapsed="false">
      <c r="A25" s="19" t="s">
        <v>293</v>
      </c>
      <c r="B25" s="20"/>
      <c r="C25" s="20"/>
      <c r="D25" s="20"/>
      <c r="E25" s="20"/>
      <c r="F25" s="20"/>
      <c r="G25" s="20"/>
      <c r="H25" s="20"/>
      <c r="I25" s="20"/>
    </row>
    <row r="26" customFormat="false" ht="22.35" hidden="false" customHeight="false" outlineLevel="0" collapsed="false">
      <c r="A26" s="21" t="s">
        <v>117</v>
      </c>
      <c r="B26" s="26" t="s">
        <v>294</v>
      </c>
      <c r="C26" s="21" t="s">
        <v>295</v>
      </c>
      <c r="D26" s="21" t="s">
        <v>152</v>
      </c>
      <c r="E26" s="22" t="n">
        <v>1800</v>
      </c>
      <c r="F26" s="21" t="s">
        <v>54</v>
      </c>
      <c r="G26" s="23"/>
      <c r="H26" s="24" t="str">
        <f aca="false">IF(G26="","",E26*G26)</f>
        <v/>
      </c>
      <c r="I26" s="27" t="s">
        <v>296</v>
      </c>
    </row>
    <row r="27" customFormat="false" ht="23.85" hidden="false" customHeight="false" outlineLevel="0" collapsed="false">
      <c r="A27" s="21" t="s">
        <v>121</v>
      </c>
      <c r="B27" s="26" t="s">
        <v>297</v>
      </c>
      <c r="C27" s="21" t="s">
        <v>298</v>
      </c>
      <c r="D27" s="21" t="s">
        <v>152</v>
      </c>
      <c r="E27" s="22" t="n">
        <v>1400</v>
      </c>
      <c r="F27" s="21" t="s">
        <v>54</v>
      </c>
      <c r="G27" s="23"/>
      <c r="H27" s="24" t="str">
        <f aca="false">IF(G27="","",E27*G27)</f>
        <v/>
      </c>
      <c r="I27" s="27" t="s">
        <v>299</v>
      </c>
    </row>
    <row r="28" customFormat="false" ht="23.85" hidden="false" customHeight="false" outlineLevel="0" collapsed="false">
      <c r="A28" s="21" t="s">
        <v>124</v>
      </c>
      <c r="B28" s="7" t="s">
        <v>300</v>
      </c>
      <c r="C28" s="21" t="s">
        <v>276</v>
      </c>
      <c r="D28" s="21" t="s">
        <v>59</v>
      </c>
      <c r="E28" s="25" t="n">
        <v>0</v>
      </c>
      <c r="F28" s="21" t="s">
        <v>66</v>
      </c>
      <c r="G28" s="39"/>
      <c r="H28" s="38"/>
      <c r="I28" s="8" t="s">
        <v>301</v>
      </c>
    </row>
    <row r="29" customFormat="false" ht="23.85" hidden="false" customHeight="false" outlineLevel="0" collapsed="false">
      <c r="A29" s="21" t="s">
        <v>127</v>
      </c>
      <c r="B29" s="7" t="s">
        <v>302</v>
      </c>
      <c r="C29" s="21" t="s">
        <v>303</v>
      </c>
      <c r="D29" s="21" t="s">
        <v>152</v>
      </c>
      <c r="E29" s="22" t="n">
        <v>1</v>
      </c>
      <c r="F29" s="21" t="s">
        <v>66</v>
      </c>
      <c r="G29" s="23"/>
      <c r="H29" s="24" t="str">
        <f aca="false">IF(G29="","",E29*G29)</f>
        <v/>
      </c>
      <c r="I29" s="8"/>
    </row>
    <row r="30" customFormat="false" ht="15" hidden="false" customHeight="false" outlineLevel="0" collapsed="false">
      <c r="A30" s="28"/>
      <c r="B30" s="29" t="s">
        <v>158</v>
      </c>
      <c r="C30" s="28"/>
      <c r="D30" s="28"/>
      <c r="E30" s="28"/>
      <c r="F30" s="28"/>
      <c r="G30" s="28"/>
      <c r="H30" s="30" t="n">
        <f aca="false">SUM(H26:H29)</f>
        <v>0</v>
      </c>
      <c r="I30" s="28"/>
    </row>
    <row r="31" customFormat="false" ht="15" hidden="false" customHeight="false" outlineLevel="0" collapsed="false">
      <c r="A31" s="19" t="s">
        <v>304</v>
      </c>
      <c r="B31" s="20"/>
      <c r="C31" s="20"/>
      <c r="D31" s="20"/>
      <c r="E31" s="20"/>
      <c r="F31" s="20"/>
      <c r="G31" s="20"/>
      <c r="H31" s="20"/>
      <c r="I31" s="20"/>
    </row>
    <row r="32" customFormat="false" ht="23.85" hidden="false" customHeight="false" outlineLevel="0" collapsed="false">
      <c r="A32" s="21" t="s">
        <v>160</v>
      </c>
      <c r="B32" s="26" t="s">
        <v>305</v>
      </c>
      <c r="C32" s="21" t="s">
        <v>288</v>
      </c>
      <c r="D32" s="21" t="s">
        <v>289</v>
      </c>
      <c r="E32" s="25" t="n">
        <v>0</v>
      </c>
      <c r="F32" s="21" t="s">
        <v>306</v>
      </c>
      <c r="G32" s="39"/>
      <c r="H32" s="38"/>
      <c r="I32" s="27" t="s">
        <v>307</v>
      </c>
    </row>
    <row r="33" customFormat="false" ht="15" hidden="false" customHeight="false" outlineLevel="0" collapsed="false">
      <c r="A33" s="21" t="s">
        <v>164</v>
      </c>
      <c r="B33" s="26" t="s">
        <v>308</v>
      </c>
      <c r="C33" s="21" t="s">
        <v>288</v>
      </c>
      <c r="D33" s="21" t="s">
        <v>289</v>
      </c>
      <c r="E33" s="25" t="n">
        <v>0</v>
      </c>
      <c r="F33" s="21" t="s">
        <v>306</v>
      </c>
      <c r="G33" s="39"/>
      <c r="H33" s="38"/>
      <c r="I33" s="27" t="s">
        <v>307</v>
      </c>
    </row>
    <row r="34" customFormat="false" ht="15" hidden="false" customHeight="false" outlineLevel="0" collapsed="false">
      <c r="A34" s="21" t="s">
        <v>245</v>
      </c>
      <c r="B34" s="26" t="s">
        <v>309</v>
      </c>
      <c r="C34" s="21" t="s">
        <v>288</v>
      </c>
      <c r="D34" s="21" t="s">
        <v>289</v>
      </c>
      <c r="E34" s="25" t="n">
        <v>0</v>
      </c>
      <c r="F34" s="21" t="s">
        <v>306</v>
      </c>
      <c r="G34" s="39"/>
      <c r="H34" s="38"/>
      <c r="I34" s="27" t="s">
        <v>310</v>
      </c>
    </row>
    <row r="35" customFormat="false" ht="15" hidden="false" customHeight="false" outlineLevel="0" collapsed="false">
      <c r="A35" s="21" t="s">
        <v>249</v>
      </c>
      <c r="B35" s="26" t="s">
        <v>311</v>
      </c>
      <c r="C35" s="21" t="s">
        <v>288</v>
      </c>
      <c r="D35" s="21" t="s">
        <v>289</v>
      </c>
      <c r="E35" s="25" t="n">
        <v>0</v>
      </c>
      <c r="F35" s="21" t="s">
        <v>306</v>
      </c>
      <c r="G35" s="39"/>
      <c r="H35" s="38"/>
      <c r="I35" s="27" t="s">
        <v>307</v>
      </c>
    </row>
    <row r="37" customFormat="false" ht="15" hidden="false" customHeight="false" outlineLevel="0" collapsed="false">
      <c r="A37" s="11"/>
      <c r="B37" s="10" t="s">
        <v>312</v>
      </c>
      <c r="C37" s="11"/>
      <c r="D37" s="11"/>
      <c r="E37" s="11"/>
      <c r="F37" s="11"/>
      <c r="G37" s="11"/>
      <c r="H37" s="12" t="n">
        <f aca="false">H14+H24+H30</f>
        <v>0</v>
      </c>
      <c r="I3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40" t="s">
        <v>313</v>
      </c>
    </row>
    <row r="4" customFormat="false" ht="15" hidden="false" customHeight="false" outlineLevel="0" collapsed="false">
      <c r="B4" s="41" t="s">
        <v>314</v>
      </c>
      <c r="C4" s="42"/>
    </row>
    <row r="5" customFormat="false" ht="24" hidden="false" customHeight="true" outlineLevel="0" collapsed="false">
      <c r="B5" s="43" t="s">
        <v>315</v>
      </c>
      <c r="C5" s="8" t="s">
        <v>316</v>
      </c>
    </row>
    <row r="6" customFormat="false" ht="24" hidden="false" customHeight="true" outlineLevel="0" collapsed="false">
      <c r="B6" s="43" t="s">
        <v>317</v>
      </c>
      <c r="C6" s="8" t="s">
        <v>318</v>
      </c>
    </row>
    <row r="7" customFormat="false" ht="24" hidden="false" customHeight="true" outlineLevel="0" collapsed="false">
      <c r="B7" s="43" t="s">
        <v>319</v>
      </c>
      <c r="C7" s="8" t="s">
        <v>320</v>
      </c>
    </row>
    <row r="9" customFormat="false" ht="15" hidden="false" customHeight="false" outlineLevel="0" collapsed="false">
      <c r="B9" s="41" t="s">
        <v>321</v>
      </c>
      <c r="C9" s="42"/>
    </row>
    <row r="10" customFormat="false" ht="24" hidden="false" customHeight="true" outlineLevel="0" collapsed="false">
      <c r="B10" s="43" t="s">
        <v>65</v>
      </c>
      <c r="C10" s="8" t="s">
        <v>322</v>
      </c>
    </row>
    <row r="11" customFormat="false" ht="24" hidden="false" customHeight="true" outlineLevel="0" collapsed="false">
      <c r="B11" s="43" t="s">
        <v>194</v>
      </c>
      <c r="C11" s="8" t="s">
        <v>323</v>
      </c>
    </row>
    <row r="12" customFormat="false" ht="24" hidden="false" customHeight="true" outlineLevel="0" collapsed="false">
      <c r="B12" s="43" t="s">
        <v>53</v>
      </c>
      <c r="C12" s="8" t="s">
        <v>324</v>
      </c>
    </row>
    <row r="13" customFormat="false" ht="24" hidden="false" customHeight="true" outlineLevel="0" collapsed="false">
      <c r="B13" s="43" t="s">
        <v>152</v>
      </c>
      <c r="C13" s="8" t="s">
        <v>325</v>
      </c>
    </row>
    <row r="14" customFormat="false" ht="24" hidden="false" customHeight="true" outlineLevel="0" collapsed="false">
      <c r="B14" s="43" t="s">
        <v>326</v>
      </c>
      <c r="C14" s="8" t="s">
        <v>327</v>
      </c>
    </row>
    <row r="16" customFormat="false" ht="15" hidden="false" customHeight="false" outlineLevel="0" collapsed="false">
      <c r="B16" s="41" t="s">
        <v>328</v>
      </c>
      <c r="C16" s="42"/>
    </row>
    <row r="17" customFormat="false" ht="36" hidden="false" customHeight="true" outlineLevel="0" collapsed="false">
      <c r="B17" s="43" t="s">
        <v>329</v>
      </c>
      <c r="C17" s="8" t="s">
        <v>330</v>
      </c>
    </row>
    <row r="18" customFormat="false" ht="24" hidden="false" customHeight="true" outlineLevel="0" collapsed="false">
      <c r="B18" s="43" t="s">
        <v>331</v>
      </c>
      <c r="C18" s="8" t="s">
        <v>332</v>
      </c>
    </row>
    <row r="19" customFormat="false" ht="24" hidden="false" customHeight="true" outlineLevel="0" collapsed="false">
      <c r="B19" s="43" t="s">
        <v>333</v>
      </c>
      <c r="C19" s="8" t="s">
        <v>334</v>
      </c>
    </row>
    <row r="20" customFormat="false" ht="24" hidden="false" customHeight="true" outlineLevel="0" collapsed="false">
      <c r="B20" s="43" t="s">
        <v>335</v>
      </c>
      <c r="C20" s="8" t="s">
        <v>336</v>
      </c>
    </row>
    <row r="21" customFormat="false" ht="24" hidden="false" customHeight="true" outlineLevel="0" collapsed="false">
      <c r="B21" s="43" t="s">
        <v>337</v>
      </c>
      <c r="C21" s="8" t="s">
        <v>338</v>
      </c>
    </row>
    <row r="22" customFormat="false" ht="24" hidden="false" customHeight="true" outlineLevel="0" collapsed="false">
      <c r="B22" s="43" t="s">
        <v>339</v>
      </c>
      <c r="C22" s="8" t="s">
        <v>340</v>
      </c>
    </row>
    <row r="23" customFormat="false" ht="24" hidden="false" customHeight="true" outlineLevel="0" collapsed="false">
      <c r="B23" s="43" t="s">
        <v>341</v>
      </c>
      <c r="C23" s="8" t="s">
        <v>342</v>
      </c>
    </row>
    <row r="24" customFormat="false" ht="24" hidden="false" customHeight="true" outlineLevel="0" collapsed="false">
      <c r="B24" s="43" t="s">
        <v>343</v>
      </c>
      <c r="C24" s="8" t="s">
        <v>344</v>
      </c>
    </row>
    <row r="25" customFormat="false" ht="24" hidden="false" customHeight="true" outlineLevel="0" collapsed="false">
      <c r="B25" s="43" t="s">
        <v>345</v>
      </c>
      <c r="C25" s="8" t="s">
        <v>346</v>
      </c>
    </row>
    <row r="26" customFormat="false" ht="24" hidden="false" customHeight="true" outlineLevel="0" collapsed="false">
      <c r="B26" s="43" t="s">
        <v>347</v>
      </c>
      <c r="C26" s="8" t="s">
        <v>348</v>
      </c>
    </row>
    <row r="28" customFormat="false" ht="15" hidden="false" customHeight="false" outlineLevel="0" collapsed="false">
      <c r="B28" s="41" t="s">
        <v>349</v>
      </c>
      <c r="C28" s="42"/>
    </row>
    <row r="29" customFormat="false" ht="24" hidden="false" customHeight="true" outlineLevel="0" collapsed="false">
      <c r="B29" s="43" t="s">
        <v>350</v>
      </c>
      <c r="C29" s="8" t="s">
        <v>351</v>
      </c>
    </row>
    <row r="30" customFormat="false" ht="24" hidden="false" customHeight="true" outlineLevel="0" collapsed="false">
      <c r="B30" s="43" t="s">
        <v>352</v>
      </c>
      <c r="C30" s="8" t="s">
        <v>353</v>
      </c>
    </row>
    <row r="31" customFormat="false" ht="36" hidden="false" customHeight="true" outlineLevel="0" collapsed="false">
      <c r="B31" s="43" t="s">
        <v>354</v>
      </c>
      <c r="C31" s="8" t="s">
        <v>355</v>
      </c>
    </row>
    <row r="32" customFormat="false" ht="24" hidden="false" customHeight="true" outlineLevel="0" collapsed="false">
      <c r="B32" s="43" t="s">
        <v>356</v>
      </c>
      <c r="C32" s="8" t="s">
        <v>357</v>
      </c>
    </row>
    <row r="33" customFormat="false" ht="24" hidden="false" customHeight="true" outlineLevel="0" collapsed="false">
      <c r="B33" s="43" t="s">
        <v>358</v>
      </c>
      <c r="C33" s="8" t="s">
        <v>359</v>
      </c>
    </row>
    <row r="34" customFormat="false" ht="24" hidden="false" customHeight="true" outlineLevel="0" collapsed="false">
      <c r="B34" s="43" t="s">
        <v>360</v>
      </c>
      <c r="C34" s="8" t="s">
        <v>361</v>
      </c>
    </row>
    <row r="35" customFormat="false" ht="24" hidden="false" customHeight="true" outlineLevel="0" collapsed="false">
      <c r="B35" s="43" t="s">
        <v>362</v>
      </c>
      <c r="C35" s="8" t="s">
        <v>363</v>
      </c>
    </row>
    <row r="36" customFormat="false" ht="24" hidden="false" customHeight="true" outlineLevel="0" collapsed="false">
      <c r="B36" s="43" t="s">
        <v>364</v>
      </c>
      <c r="C36" s="8" t="s">
        <v>365</v>
      </c>
    </row>
    <row r="38" customFormat="false" ht="15" hidden="false" customHeight="false" outlineLevel="0" collapsed="false">
      <c r="B38" s="41" t="s">
        <v>366</v>
      </c>
      <c r="C38" s="42"/>
    </row>
    <row r="39" customFormat="false" ht="24" hidden="false" customHeight="true" outlineLevel="0" collapsed="false">
      <c r="B39" s="43" t="s">
        <v>367</v>
      </c>
      <c r="C39" s="8" t="s">
        <v>368</v>
      </c>
    </row>
    <row r="40" customFormat="false" ht="24" hidden="false" customHeight="true" outlineLevel="0" collapsed="false">
      <c r="B40" s="43" t="s">
        <v>369</v>
      </c>
      <c r="C40" s="8" t="s">
        <v>370</v>
      </c>
    </row>
    <row r="41" customFormat="false" ht="24" hidden="false" customHeight="true" outlineLevel="0" collapsed="false">
      <c r="B41" s="43" t="s">
        <v>371</v>
      </c>
      <c r="C41" s="8" t="s">
        <v>372</v>
      </c>
    </row>
    <row r="42" customFormat="false" ht="24" hidden="false" customHeight="true" outlineLevel="0" collapsed="false">
      <c r="B42" s="43" t="s">
        <v>373</v>
      </c>
      <c r="C42" s="8" t="s">
        <v>374</v>
      </c>
    </row>
    <row r="43" customFormat="false" ht="24" hidden="false" customHeight="true" outlineLevel="0" collapsed="false">
      <c r="B43" s="43" t="s">
        <v>375</v>
      </c>
      <c r="C43" s="8" t="s">
        <v>376</v>
      </c>
    </row>
    <row r="44" customFormat="false" ht="24" hidden="false" customHeight="true" outlineLevel="0" collapsed="false">
      <c r="B44" s="43" t="s">
        <v>377</v>
      </c>
      <c r="C44" s="8" t="s">
        <v>378</v>
      </c>
    </row>
    <row r="45" customFormat="false" ht="24" hidden="false" customHeight="true" outlineLevel="0" collapsed="false">
      <c r="B45" s="43" t="s">
        <v>379</v>
      </c>
      <c r="C45" s="8" t="s">
        <v>380</v>
      </c>
    </row>
    <row r="46" customFormat="false" ht="24" hidden="false" customHeight="true" outlineLevel="0" collapsed="false">
      <c r="B46" s="43" t="s">
        <v>381</v>
      </c>
      <c r="C46" s="8" t="s">
        <v>382</v>
      </c>
    </row>
    <row r="47" customFormat="false" ht="24" hidden="false" customHeight="true" outlineLevel="0" collapsed="false">
      <c r="B47" s="43" t="s">
        <v>383</v>
      </c>
      <c r="C47" s="8" t="s">
        <v>384</v>
      </c>
    </row>
    <row r="48" customFormat="false" ht="24" hidden="false" customHeight="true" outlineLevel="0" collapsed="false">
      <c r="B48" s="43" t="s">
        <v>385</v>
      </c>
      <c r="C48" s="8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2026-08-31T21:31:04Z</dcterms:created>
  <dc:creator>openpyxl</dc:creator>
  <dc:description/>
  <dc:language>en-US</dc:language>
  <cp:lastModifiedBy/>
  <dcterms:modified xsi:type="dcterms:W3CDTF">2026-08-31T21:31:05Z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