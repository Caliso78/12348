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 Electrical" sheetId="2" state="visible" r:id="rId4"/>
    <sheet name="Telecom OSP" sheetId="3" state="visible" r:id="rId5"/>
    <sheet name="Security" sheetId="4" state="visible" r:id="rId6"/>
    <sheet name="Materials &amp; Makes" sheetId="5" state="visible" r:id="rId7"/>
    <sheet name="Assum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<sst xmlns="http://schemas.openxmlformats.org/spreadsheetml/2006/main" count="1055" uniqueCount="699">
  <si>
    <t xml:space="preserve">DETAILED QUANTITY TAKEOFF — EXTERIOR ELECTRICAL &amp; COMMUNICATIONS</t>
  </si>
  <si>
    <t xml:space="preserve">DOE Legacy Management — Site Improvement Package | 764 Horizon Dr., Grand Junction, CO</t>
  </si>
  <si>
    <t xml:space="preserve">Basis: 65% Submittal QC set (Kenall-FSC JV / HDR, issue date Sept 02 2026; elec sheets dated Feb 23 2026) — Contract W9128F24D0010. NOT FOR CONSTRUCTION.</t>
  </si>
  <si>
    <t xml:space="preserve">Scope per direction: EXTERIOR electrical &amp; communications only (ES/E, TSN, TSY series + CD101 demo). Civil, wet utilities, fire protection &amp; building interior systems excluded.</t>
  </si>
  <si>
    <t xml:space="preserve">TOTALS BY SYSTEM</t>
  </si>
  <si>
    <t xml:space="preserve">System</t>
  </si>
  <si>
    <t xml:space="preserve">Drawing Series</t>
  </si>
  <si>
    <t xml:space="preserve">Extension ($)</t>
  </si>
  <si>
    <t xml:space="preserve">Remarks</t>
  </si>
  <si>
    <t xml:space="preserve">Site Electrical (power, lighting, generator, service, demo)</t>
  </si>
  <si>
    <t xml:space="preserve">E-001, ES101, ES601, CD101</t>
  </si>
  <si>
    <t xml:space="preserve">Utility primary &amp; transformer by Xcel Energy; lighting branch circuits carried as allowance (not drawn at 65%).</t>
  </si>
  <si>
    <t xml:space="preserve">Telecommunications OSP (duct banks, MH/HH, fiber)</t>
  </si>
  <si>
    <t xml:space="preserve">TSN001, TSN100, TSN300, TSN400</t>
  </si>
  <si>
    <t xml:space="preserve">Duct bank lengths from plan dims where shown, otherwise scaled at 1"=30'. ISP cabling &amp; pedestal by ISP.</t>
  </si>
  <si>
    <t xml:space="preserve">Security (access control, video intercom, gates)</t>
  </si>
  <si>
    <t xml:space="preserve">TSY001, TSY002, TSY100, TSY101</t>
  </si>
  <si>
    <t xml:space="preserve">Video surveillance, intrusion detection, blue phones struck from matrix at 65% — excluded, verify.</t>
  </si>
  <si>
    <t xml:space="preserve">PROJECT TOTAL — EXTERIOR ELECTRICAL &amp; COMM</t>
  </si>
  <si>
    <t xml:space="preserve">HOW TO USE / LEGEND</t>
  </si>
  <si>
    <t xml:space="preserve">Yellow cells</t>
  </si>
  <si>
    <t xml:space="preserve">Enter your unit costs (material + labor) in the yellow 'Unit Cost' cells; extensions &amp; totals compute automatically.</t>
  </si>
  <si>
    <t xml:space="preserve">Blue quantities</t>
  </si>
  <si>
    <t xml:space="preserve">Scaled from plan (1"=30') or carried as allowance — expect ±10-20% movement; firm up at 95%.</t>
  </si>
  <si>
    <t xml:space="preserve">Orange rows</t>
  </si>
  <si>
    <t xml:space="preserve">Open question / QC-comment risk — verify before bid (see notes column).</t>
  </si>
  <si>
    <t xml:space="preserve">Size &amp; Type columns</t>
  </si>
  <si>
    <t xml:space="preserve">Sizes and types/materials/models are from drawing schedules &amp; details; entries marked '(assumed)' or 'TBD' are not on the 65% drawings — confirm in specs or next submittal.</t>
  </si>
  <si>
    <t xml:space="preserve">Basis column</t>
  </si>
  <si>
    <t xml:space="preserve">Counted = symbol count from plan · Dimensioned = printed plan dimension · Scaled = measured at 1"=30' · Allowance = not shown at 65% · By Others-NIC = coordination only · Calc = formula-driven from other rows.</t>
  </si>
  <si>
    <t xml:space="preserve">Example</t>
  </si>
  <si>
    <t xml:space="preserve">e.g. Site Electrical item C1 (EA1 pole light): enter 12,500 in the yellow cell → extension shows $112,500 for 9 poles.</t>
  </si>
  <si>
    <t xml:space="preserve">KEY 65% DESIGN GAPS / QC COMMENTS AFFECTING QUANTITIES</t>
  </si>
  <si>
    <t xml:space="preserve">1. Site photometric plan to be added (QC on ES101) — fixture counts/locations may change; one EA1 pole flagged for relocation (fire-truck access conflict near relocated generator).</t>
  </si>
  <si>
    <t xml:space="preserve">2. Site lighting branch circuiting, panel sources &amp; one-line references are not in the site set — carried as allowances; conduit/wire sizes assumed and so noted.</t>
  </si>
  <si>
    <t xml:space="preserve">3. TSN100 duct bank overall dim 508'-8 3/4" at HH1-6 does not reconcile with segment dims (sums ±300 LF) — RFI recommended.</t>
  </si>
  <si>
    <t xml:space="preserve">4. TSY002 matrix strikes video surveillance, intrusion detection, WAPs and blue phones, but TSY101 still shows VSS server / 'to building cameras' — confirm deletions.</t>
  </si>
  <si>
    <t xml:space="preserve">5. Card reader locations updated per TSY100 at QC; gate-operator power JB may move closer to reader (ES101 QC).</t>
  </si>
  <si>
    <t xml:space="preserve">6. Civil background on TSN100/TSY100 to be updated to most current — handhole/pedestal positions (HH1-1 labeling) to be confirmed.</t>
  </si>
  <si>
    <t xml:space="preserve">7. OSP copper backbone questioned on TSN300 ('Where is the OSP copper?') — matrix lists it as contractor scope; allowance carried, pair count TBD.</t>
  </si>
  <si>
    <t xml:space="preserve">8. Demarcation between Xcel Energy work and contract work to be documented in Design Analysis (QC on ES101) — primary work carried as NIC.</t>
  </si>
  <si>
    <t xml:space="preserve">9. Luminaire schedule wattage/lumens/CCT columns largely blank at 65%; transformer kVA, generator kW, and secondary conductor sizes await one-line (building package).</t>
  </si>
  <si>
    <t xml:space="preserve">SITE ELECTRICAL TAKEOFF (Sheets E-001, ES101, ES601 + CD101 demo)</t>
  </si>
  <si>
    <t xml:space="preserve">DOE Legacy Management – Site Improvement Package | 764 Horizon Dr., Grand Junction, CO | 65% Submittal (Issue 02 SEP 2026) | Contract W9128F24D0010</t>
  </si>
  <si>
    <t xml:space="preserve">Item</t>
  </si>
  <si>
    <t xml:space="preserve">Description</t>
  </si>
  <si>
    <t xml:space="preserve">Size</t>
  </si>
  <si>
    <t xml:space="preserve">Type / Material / Model No.</t>
  </si>
  <si>
    <t xml:space="preserve">Ref (Sheet / Detail / Keynote)</t>
  </si>
  <si>
    <t xml:space="preserve">Basis</t>
  </si>
  <si>
    <t xml:space="preserve">Qty</t>
  </si>
  <si>
    <t xml:space="preserve">Unit</t>
  </si>
  <si>
    <t xml:space="preserve">Unit Cost ($)</t>
  </si>
  <si>
    <t xml:space="preserve">Notes</t>
  </si>
  <si>
    <t xml:space="preserve">A. DEMOLITION / UTILITY COMPANY COORDINATION</t>
  </si>
  <si>
    <t xml:space="preserve">A1</t>
  </si>
  <si>
    <t xml:space="preserve">Remove existing utility primary conduit &amp; conductors back to splice point</t>
  </si>
  <si>
    <t xml:space="preserve">Size unknown (existing)</t>
  </si>
  <si>
    <t xml:space="preserve">Existing UG primary conduit &amp; cable — remove &amp; dispose</t>
  </si>
  <si>
    <t xml:space="preserve">ES101 / KN 2</t>
  </si>
  <si>
    <t xml:space="preserve">Scaled</t>
  </si>
  <si>
    <t xml:space="preserve">LF</t>
  </si>
  <si>
    <t xml:space="preserve">Heavy-hatched route, splice point to existing transformer at Bldg A SW corner. Scaled at 1"=30' (±20%).</t>
  </si>
  <si>
    <t xml:space="preserve">A2</t>
  </si>
  <si>
    <t xml:space="preserve">Existing utility transformer demolition — BY UTILITY (Xcel); coordination only</t>
  </si>
  <si>
    <t xml:space="preserve">—</t>
  </si>
  <si>
    <t xml:space="preserve">Existing pad-mount utility transformer</t>
  </si>
  <si>
    <t xml:space="preserve">ES101 / KN 9</t>
  </si>
  <si>
    <t xml:space="preserve">By Others-NIC</t>
  </si>
  <si>
    <t xml:space="preserve">EA</t>
  </si>
  <si>
    <t xml:space="preserve">Demolished by utility company. Carry coordination/scheduling only.</t>
  </si>
  <si>
    <t xml:space="preserve">A3</t>
  </si>
  <si>
    <t xml:space="preserve">Relocate existing government-owned generator to Building 'A' site, incl. all testing for manufacturer recertification</t>
  </si>
  <si>
    <t xml:space="preserve">Rating TBD (existing unit)</t>
  </si>
  <si>
    <t xml:space="preserve">Existing gov't-owned engine generator — rig, relocate, reconnect, recertify</t>
  </si>
  <si>
    <t xml:space="preserve">ES101 / KN 8</t>
  </si>
  <si>
    <t xml:space="preserve">Counted</t>
  </si>
  <si>
    <t xml:space="preserve">LS</t>
  </si>
  <si>
    <t xml:space="preserve">Building EC responsible per KN 8. Nameplate/kW not shown in site set — confirm from building package.</t>
  </si>
  <si>
    <t xml:space="preserve">A4</t>
  </si>
  <si>
    <t xml:space="preserve">Utility PRIMARY boring/trenching, conduit &amp; wiring, splice point to new transformer — BY XCEL ENERGY</t>
  </si>
  <si>
    <t xml:space="preserve">Per XE standards</t>
  </si>
  <si>
    <t xml:space="preserve">Primary conduit &amp; MV cable per Xcel Energy standards; 24" min trench, warning tape</t>
  </si>
  <si>
    <t xml:space="preserve">ES101 / KN 1,3,4; 1/ES601</t>
  </si>
  <si>
    <t xml:space="preserve">XE provides all primary conduit/wiring/trenching (KN 4). Route scaled ±150 LF for coordination. EC coordinates routing &amp; termination.</t>
  </si>
  <si>
    <t xml:space="preserve">A5</t>
  </si>
  <si>
    <t xml:space="preserve">Remove existing parking lot light pole and foundation (NW parking, Tract I)</t>
  </si>
  <si>
    <t xml:space="preserve">Height unknown (existing)</t>
  </si>
  <si>
    <t xml:space="preserve">Existing site light pole + concrete foundation — remove &amp; dispose</t>
  </si>
  <si>
    <t xml:space="preserve">CD101 / KN 6</t>
  </si>
  <si>
    <t xml:space="preserve">2 poles at KN 6 arrows. Note ES101 QC also flags relocating one NEW pole near generator — separate issue.</t>
  </si>
  <si>
    <t xml:space="preserve">A6</t>
  </si>
  <si>
    <t xml:space="preserve">Remove existing underground electric line (UGE) serving demo'd poles</t>
  </si>
  <si>
    <t xml:space="preserve">Existing UG electric branch — remove &amp; dispose</t>
  </si>
  <si>
    <t xml:space="preserve">CD101 / KN 6, legend</t>
  </si>
  <si>
    <t xml:space="preserve">Between/beyond removed poles toward Bldg A. Scaled at 1"=30' (±25%).</t>
  </si>
  <si>
    <t xml:space="preserve">A7</t>
  </si>
  <si>
    <t xml:space="preserve">Remove existing underground telephone line (T linetype)</t>
  </si>
  <si>
    <t xml:space="preserve">Existing UG telephone cable/duct — remove &amp; dispose</t>
  </si>
  <si>
    <t xml:space="preserve">CD101 legend</t>
  </si>
  <si>
    <t xml:space="preserve">Runs along north frontage/site. VERIFY ownership (telco may remove own plant) and limits.</t>
  </si>
  <si>
    <t xml:space="preserve">A8</t>
  </si>
  <si>
    <t xml:space="preserve">Demolish existing electric meter</t>
  </si>
  <si>
    <t xml:space="preserve">Existing utility meter — demolish, coordinate w/ XE</t>
  </si>
  <si>
    <t xml:space="preserve">CD101 legend (EM)</t>
  </si>
  <si>
    <t xml:space="preserve">Legend item; symbol at Bldg A service area. Verify count at 95%.</t>
  </si>
  <si>
    <t xml:space="preserve">A9</t>
  </si>
  <si>
    <t xml:space="preserve">Demolish existing communications junction box</t>
  </si>
  <si>
    <t xml:space="preserve">Existing comm JB — demolish</t>
  </si>
  <si>
    <t xml:space="preserve">Legend item; verify count. Comm pedestal at NW corner of Bldg C to be PROTECTED (QC fence-removal comment).</t>
  </si>
  <si>
    <t xml:space="preserve">A10</t>
  </si>
  <si>
    <t xml:space="preserve">Protect in place: (2) existing transformers &amp; pads, existing overhead power &amp; poles (south boundary), comm pedestal at Bldg C</t>
  </si>
  <si>
    <t xml:space="preserve">Temporary protection / barricades / coordination</t>
  </si>
  <si>
    <t xml:space="preserve">CD101 notes</t>
  </si>
  <si>
    <t xml:space="preserve">Any utility damaged repaired at no additional cost (CD101 GN 1).</t>
  </si>
  <si>
    <t xml:space="preserve">Subtotal A</t>
  </si>
  <si>
    <t xml:space="preserve">B. SERVICE &amp; GENERATOR</t>
  </si>
  <si>
    <t xml:space="preserve">B1</t>
  </si>
  <si>
    <t xml:space="preserve">New pad-mounted utility transformer — BY XCEL; coordination</t>
  </si>
  <si>
    <t xml:space="preserve">480/277V, 3-phase (kVA TBD by XE)</t>
  </si>
  <si>
    <t xml:space="preserve">Pad-mount, XE-furnished &amp; installed; XE makes primary &amp; secondary connections</t>
  </si>
  <si>
    <t xml:space="preserve">ES101 / KN 4</t>
  </si>
  <si>
    <t xml:space="preserve">kVA sizing by utility from building load letter — not shown in site set.</t>
  </si>
  <si>
    <t xml:space="preserve">B2</t>
  </si>
  <si>
    <t xml:space="preserve">Transformer concrete pad w/ clearances per XE</t>
  </si>
  <si>
    <t xml:space="preserve">Per XE standard dwg</t>
  </si>
  <si>
    <t xml:space="preserve">Cast-in-place concrete pad + ground grid per XE requirements</t>
  </si>
  <si>
    <t xml:space="preserve">Pad by GC per KN 4 — coordinate pad &amp; clearance requirements with XE.</t>
  </si>
  <si>
    <t xml:space="preserve">B3</t>
  </si>
  <si>
    <t xml:space="preserve">Utility meter housing (furnish &amp; install, coordinate w/ XE) + CT cabinet</t>
  </si>
  <si>
    <t xml:space="preserve">Per XE metering std</t>
  </si>
  <si>
    <t xml:space="preserve">Meter housing + CT cabinet, NEMA 3R; meter device by XE</t>
  </si>
  <si>
    <t xml:space="preserve">EC furnishes &amp; installs housing; XE furnishes/installs/connects meter.</t>
  </si>
  <si>
    <t xml:space="preserve">B4</t>
  </si>
  <si>
    <t xml:space="preserve">UG secondary conduit system, transformer to Bldg A main service disconnect / MDP</t>
  </si>
  <si>
    <t xml:space="preserve">Conduit qty &amp; size TBD per one-line</t>
  </si>
  <si>
    <t xml:space="preserve">PVC Sch 40 (assumed) w/ XHHW-2 Cu secondary conductors per one-line</t>
  </si>
  <si>
    <t xml:space="preserve">ES101 / KN 5</t>
  </si>
  <si>
    <t xml:space="preserve">One-line is in building package — verify conduit count/size &amp; conductor schedule at next submittal.</t>
  </si>
  <si>
    <t xml:space="preserve">B5</t>
  </si>
  <si>
    <t xml:space="preserve">UG conduits, generator to automatic transfer switch(es)</t>
  </si>
  <si>
    <t xml:space="preserve">PVC Sch 40 power + control (assumed); stub-ups field coordinated</t>
  </si>
  <si>
    <t xml:space="preserve">ES101 / KN 6</t>
  </si>
  <si>
    <t xml:space="preserve">Refer to one-line for conduit count. Field coordinate exact routing &amp; stub-up locations prior to rough-in (KN 6).</t>
  </si>
  <si>
    <t xml:space="preserve">Subtotal B</t>
  </si>
  <si>
    <t xml:space="preserve">C. SITE LIGHTING (Schedule &amp; details ES601)</t>
  </si>
  <si>
    <t xml:space="preserve">C1</t>
  </si>
  <si>
    <t xml:space="preserve">Fixture EA1 — pole-mounted LED area light, Type 3 backlight control, glare shield, house-side shield, w/ pole</t>
  </si>
  <si>
    <t xml:space="preserve">35' pole; 277V; 3000K, 80 CRI</t>
  </si>
  <si>
    <t xml:space="preserve">Lithonia DSX1-LED-P3-30K-80CRI-BLC3-MVOLT-PIR-SPD20KV-HS-EGSR-DDXX</t>
  </si>
  <si>
    <t xml:space="preserve">ES101/ES601 sched.</t>
  </si>
  <si>
    <t xml:space="preserve">Tag count from plan. Integral PIR motion, dims to 30% after 10 min. Wattage/lumens columns blank in 65% schedule.</t>
  </si>
  <si>
    <t xml:space="preserve">C2</t>
  </si>
  <si>
    <t xml:space="preserve">Fixture EA2 — pole-mounted LED area light, Type 5 wide distribution, glare shield, w/ pole</t>
  </si>
  <si>
    <t xml:space="preserve">Lithonia DSX1-LED-P3-30K-80CRI-T5W-MVOLT-PIR-SPD20KV-EGSR-DDXX</t>
  </si>
  <si>
    <t xml:space="preserve">7 tagged poles; plan symbols show TWIN heads on EA2 poles — verify heads/pole (14 luminaires if twin). Priced per pole assembly.</t>
  </si>
  <si>
    <t xml:space="preserve">C3</t>
  </si>
  <si>
    <t xml:space="preserve">Fixture EA3 — pole-mounted LED area light, short-throw (T1S) distribution, glare shield, house-side shield, w/ pole</t>
  </si>
  <si>
    <t xml:space="preserve">Lithonia DSX1-LED-P3-30K-80CRI-T1S-MVOLT-PIR-SPD20KV-HS-EGSR-DDXX</t>
  </si>
  <si>
    <t xml:space="preserve">Tag count from plan (east parking).</t>
  </si>
  <si>
    <t xml:space="preserve">C4</t>
  </si>
  <si>
    <t xml:space="preserve">Pole base foundation w/ anchor bolts, grout, ground stud, handhole access</t>
  </si>
  <si>
    <t xml:space="preserve">2'-0" dia. x 9'-6" deep</t>
  </si>
  <si>
    <t xml:space="preserve">CIP concrete (Div 03); 8-#5 vert., #4@10" ring ties; round in unpaved / square at paving</t>
  </si>
  <si>
    <t xml:space="preserve">2/ES601 dim. sched.</t>
  </si>
  <si>
    <t xml:space="preserve">31'-40' pole row of dimension schedule governs for 35' poles.</t>
  </si>
  <si>
    <t xml:space="preserve">C5</t>
  </si>
  <si>
    <t xml:space="preserve">Ground rod &amp; pole bond</t>
  </si>
  <si>
    <t xml:space="preserve">5/8" x 8' rod (assumed — not sized on dwg)</t>
  </si>
  <si>
    <t xml:space="preserve">Cu-clad steel rod; #6 AWG bare Cu bonded to rebar &amp; pole ground stud</t>
  </si>
  <si>
    <t xml:space="preserve">2/ES601</t>
  </si>
  <si>
    <t xml:space="preserve">One per pole base per detail. Rod size to be confirmed in Div 26 specs.</t>
  </si>
  <si>
    <t xml:space="preserve">C6</t>
  </si>
  <si>
    <t xml:space="preserve">Fixture EB1 — exterior LED bollard (RADEAN), at grade</t>
  </si>
  <si>
    <t xml:space="preserve">8-1/4" dia x 41-1/2" H; 277V; 3000K, 80 CRI</t>
  </si>
  <si>
    <t xml:space="preserve">RADB-LED-P1-30K-SYM-PIR-BTT-BCF-HXX-DDXX (schedule lists 'Luminis'; RADB is a Lithonia/Acuity RADEAN model — see RFI-13)</t>
  </si>
  <si>
    <t xml:space="preserve">6 bollards along Bldg A south walk; integral PIR, symmetric distribution.</t>
  </si>
  <si>
    <t xml:space="preserve">C7</t>
  </si>
  <si>
    <t xml:space="preserve">Bollard base foundation</t>
  </si>
  <si>
    <t xml:space="preserve">1'-2" x depth per detail</t>
  </si>
  <si>
    <t xml:space="preserve">CIP concrete (Div 03); 4-#5 vert., #3 ties @10"; anchor bolts &amp; leveling nuts per mfr</t>
  </si>
  <si>
    <t xml:space="preserve">3/ES601</t>
  </si>
  <si>
    <t xml:space="preserve">Round foundation in unpaved areas; square in/adjacent to paving.</t>
  </si>
  <si>
    <t xml:space="preserve">C8</t>
  </si>
  <si>
    <t xml:space="preserve">Fixture EF1 — exterior flagpole downlight, truck mounted</t>
  </si>
  <si>
    <t xml:space="preserve">Size M (flags to 15'x25'); 3000K; remote driver</t>
  </si>
  <si>
    <t xml:space="preserve">Eagle Mountain Flag &amp; Flagpole 'StarGazer' SG-3K-EHS-M-XX (external-halyard stationary truck, dark-sky downlight)</t>
  </si>
  <si>
    <t xml:space="preserve">3 at flagpoles NW of Bldg A. Schedule voltage column shows 0V at 65% — driver remote (see C9).</t>
  </si>
  <si>
    <t xml:space="preserve">C9</t>
  </si>
  <si>
    <t xml:space="preserve">Weatherproof box w/ remote drivers for EF1 fixtures, buried in adjacent landscaped area</t>
  </si>
  <si>
    <t xml:space="preserve">NEMA 4/6P burial-rated (assumed)</t>
  </si>
  <si>
    <t xml:space="preserve">WP enclosure + (3) remote LED drivers</t>
  </si>
  <si>
    <t xml:space="preserve">ES101 / KN 10</t>
  </si>
  <si>
    <t xml:space="preserve">Field verify exact location of remote drivers prior to rough-in (KN 10).</t>
  </si>
  <si>
    <t xml:space="preserve">C10</t>
  </si>
  <si>
    <t xml:space="preserve">Site lighting branch circuits — conduit, conductors &amp; trench (ALLOWANCE — circuiting not shown at 65%)</t>
  </si>
  <si>
    <t xml:space="preserve">1" PVC Sch 40 (assumed), 24" bury</t>
  </si>
  <si>
    <t xml:space="preserve">2#10 + 1#10G Cu THWN-2 (assumed), 277V circuits; warning tape</t>
  </si>
  <si>
    <t xml:space="preserve">ES101</t>
  </si>
  <si>
    <t xml:space="preserve">Allowance</t>
  </si>
  <si>
    <t xml:space="preserve">No homeruns/circuit routing drawn at 65%; photometric plan to be added per QC. Allowance = pole-to-pole loop + homeruns; revise at 95%.</t>
  </si>
  <si>
    <t xml:space="preserve">C11</t>
  </si>
  <si>
    <t xml:space="preserve">Lighting control interface — timeclock via lighting control panel in Bldg A</t>
  </si>
  <si>
    <t xml:space="preserve">Control/interface wiring to LCP (panel in building package)</t>
  </si>
  <si>
    <t xml:space="preserve">ES601 seq. of ops</t>
  </si>
  <si>
    <t xml:space="preserve">Carry site interface/controls wiring allowance.</t>
  </si>
  <si>
    <t xml:space="preserve">Subtotal C</t>
  </si>
  <si>
    <t xml:space="preserve">D. GATE OPERATOR POWER</t>
  </si>
  <si>
    <t xml:space="preserve">D1</t>
  </si>
  <si>
    <t xml:space="preserve">Exterior-rated junction box, 120V power connection to exterior gate operator</t>
  </si>
  <si>
    <t xml:space="preserve">Size per NEC 314 (min 4-11/16" sq assumed)</t>
  </si>
  <si>
    <t xml:space="preserve">NEMA 3R/4 galvanized steel JB, stamped, gasketed</t>
  </si>
  <si>
    <t xml:space="preserve">ES101 / KN 7</t>
  </si>
  <si>
    <t xml:space="preserve">One at each vehicle gate (Bldg B west gate + 2 east gate pedestals). Verify exact locations w/ approved shop dwgs. QC: JB may shift closer to card reader.</t>
  </si>
  <si>
    <t xml:space="preserve">D2</t>
  </si>
  <si>
    <t xml:space="preserve">Branch circuit to gate operator JBs (ALLOWANCE — source panel/routing not shown)</t>
  </si>
  <si>
    <t xml:space="preserve">3/4" PVC (assumed conduit type)</t>
  </si>
  <si>
    <t xml:space="preserve">2#10 + 1#10G Cu, 120V per KN 7</t>
  </si>
  <si>
    <t xml:space="preserve">Conductors/size per KN 7; conduit material &amp; source panel not indicated at 65%. Allowance for 3 runs.</t>
  </si>
  <si>
    <t xml:space="preserve">Subtotal D</t>
  </si>
  <si>
    <t xml:space="preserve">SITE ELECTRICAL TOTAL</t>
  </si>
  <si>
    <t xml:space="preserve">TELECOMMUNICATIONS OSP TAKEOFF (Sheets TSN001, TSN100, TSN300, TSN400)</t>
  </si>
  <si>
    <t xml:space="preserve">A. UNDERGROUND STRUCTURES</t>
  </si>
  <si>
    <t xml:space="preserve">MH1 — telecom maintenance hole w/ cover, duct terminators/knockouts, bonding ribbon (4 plcs), sump</t>
  </si>
  <si>
    <t xml:space="preserve">8'-0" L x 96" W x 96" H; 13" dia sump</t>
  </si>
  <si>
    <t xml:space="preserve">Precast concrete, 4260 base (9,275 lb) + 4260 top deck (2,100 lb), traffic-rated cover</t>
  </si>
  <si>
    <t xml:space="preserve">TSN100 sched.; H1/TSN400</t>
  </si>
  <si>
    <t xml:space="preserve">MH1-1 thru MH1-4. Provide knockouts to avoid 90° turns in duct bank (TSN400 note).</t>
  </si>
  <si>
    <t xml:space="preserve">HH1 — telecom handhole</t>
  </si>
  <si>
    <t xml:space="preserve">3'-0" L x 24" W x 48" H</t>
  </si>
  <si>
    <t xml:space="preserve">Polymer concrete box w/ slip-resistant polymer concrete cover, fasteners — NOT vehicle-traffic rated</t>
  </si>
  <si>
    <t xml:space="preserve">TSN100 sched.; A1/TSN400</t>
  </si>
  <si>
    <t xml:space="preserve">HH1-2 thru HH1-6 on TSN100. Install ≥5' from building perimeter (KN 2/3).</t>
  </si>
  <si>
    <t xml:space="preserve">HH1-1 handhole (appears on TSY100 security plan only — VERIFY if additional)</t>
  </si>
  <si>
    <t xml:space="preserve">3'-0" x 24" x 48"</t>
  </si>
  <si>
    <t xml:space="preserve">Polymer concrete (same as A2)</t>
  </si>
  <si>
    <t xml:space="preserve">TSY100</t>
  </si>
  <si>
    <t xml:space="preserve">TSY100 labels an HH1-1 near Horizon Dr. not tagged on TSN100 — confirm 6th handhole vs. re-label.</t>
  </si>
  <si>
    <t xml:space="preserve">B. DUCT BANKS (schedule TSN100; sections TSN400)</t>
  </si>
  <si>
    <t xml:space="preserve">DB1 duct bank — MH1-1 to ISP telecom pedestal (east along Horizon Dr.)</t>
  </si>
  <si>
    <t xml:space="preserve">(2) 4" conduits, 1H x 2W</t>
  </si>
  <si>
    <t xml:space="preserve">4" PVC DB duct, ea. w/ (1) 4" 3-cell MaxCell innerduct; concrete-encased</t>
  </si>
  <si>
    <t xml:space="preserve">TSN100 / KN 1</t>
  </si>
  <si>
    <t xml:space="preserve">Scaled at 1"=30' (±10%). ISP pedestal location approximate — coordinate w/ ISP.</t>
  </si>
  <si>
    <t xml:space="preserve">DB1 duct bank — MH1-1 to MH1-2</t>
  </si>
  <si>
    <t xml:space="preserve">TSN100</t>
  </si>
  <si>
    <t xml:space="preserve">Scaled at 1"=30' (±10%).</t>
  </si>
  <si>
    <t xml:space="preserve">DB1 duct bank — MH1-2 to HH1-2 (Bldg C / pedestrian gate)</t>
  </si>
  <si>
    <t xml:space="preserve">TSN100 / KN 3</t>
  </si>
  <si>
    <t xml:space="preserve">Future conduit connection to Bldg C; coordinate final HH location w/ security contractor.</t>
  </si>
  <si>
    <t xml:space="preserve">DB1 duct bank — MH1-2 to HH1-4 (Bldg B)</t>
  </si>
  <si>
    <t xml:space="preserve">TSN100 / KN 4</t>
  </si>
  <si>
    <t xml:space="preserve">Coordinate final location w/ security contractor for connection to security gate.</t>
  </si>
  <si>
    <t xml:space="preserve">DB1 duct bank — MH1-3 to MH1-4</t>
  </si>
  <si>
    <t xml:space="preserve">Dimensioned</t>
  </si>
  <si>
    <t xml:space="preserve">Plan dim 123'-1".</t>
  </si>
  <si>
    <t xml:space="preserve">B6</t>
  </si>
  <si>
    <t xml:space="preserve">DB1 duct bank — MH1-4 to HH1-3 (future Bldg B connection)</t>
  </si>
  <si>
    <t xml:space="preserve">TSN100 / KN 2</t>
  </si>
  <si>
    <t xml:space="preserve">Plan dim 13'-8 1/4".</t>
  </si>
  <si>
    <t xml:space="preserve">B7</t>
  </si>
  <si>
    <t xml:space="preserve">DB1 SUBTOTAL — (2) 4" PVC w/ MaxCell</t>
  </si>
  <si>
    <t xml:space="preserve">B8</t>
  </si>
  <si>
    <t xml:space="preserve">DB2 duct bank — MH1-2 to MH1-3</t>
  </si>
  <si>
    <t xml:space="preserve">(4) 4" conduits, 2H x 2W</t>
  </si>
  <si>
    <t xml:space="preserve">B9</t>
  </si>
  <si>
    <t xml:space="preserve">DB2 duct bank — MH1-3 to Bldg A entry</t>
  </si>
  <si>
    <t xml:space="preserve">Plan dim 21'-4 3/4" to building; additional 33'-10 3/4" continues inside Bldg A (building package).</t>
  </si>
  <si>
    <t xml:space="preserve">B10</t>
  </si>
  <si>
    <t xml:space="preserve">DB2 SUBTOTAL — (4) 4" PVC w/ MaxCell</t>
  </si>
  <si>
    <t xml:space="preserve">B11</t>
  </si>
  <si>
    <t xml:space="preserve">DB3 duct bank — HH1-3 to HH1-5</t>
  </si>
  <si>
    <t xml:space="preserve">(2) 2" conduits, 1H x 2W</t>
  </si>
  <si>
    <t xml:space="preserve">2" PVC duct, ea. w/ (1) 2" 3-cell MaxCell innerduct; encasement assumed (no section)</t>
  </si>
  <si>
    <t xml:space="preserve">72'-x 1/4" diagonal + 29'-2 1/2" segments (partially obscured dim — verify 72' leg).</t>
  </si>
  <si>
    <t xml:space="preserve">B12</t>
  </si>
  <si>
    <t xml:space="preserve">DB3 duct bank — HH1-5 to HH1-6 (east vehicle gate)</t>
  </si>
  <si>
    <t xml:space="preserve">179'-7 1/4" + 17'-8 3/4". NOTE: overall dim 508'-8 3/4" also shown at HH1-6 does NOT reconcile — RFI.</t>
  </si>
  <si>
    <t xml:space="preserve">B13</t>
  </si>
  <si>
    <t xml:space="preserve">DB3 SUBTOTAL — (2) 2" PVC w/ MaxCell</t>
  </si>
  <si>
    <t xml:space="preserve">Subtotal B (priced lines)</t>
  </si>
  <si>
    <t xml:space="preserve">C. TRENCH / ENCASEMENT / MISC (quantities driven by duct bank LF above)</t>
  </si>
  <si>
    <t xml:space="preserve">Trench &amp; backfill for telecom duct banks</t>
  </si>
  <si>
    <t xml:space="preserve">30" min cover; ≥6' deep under traffic</t>
  </si>
  <si>
    <t xml:space="preserve">Excavate, bed, backfill, compact; detectable warning tape; below 50-yr freeze line</t>
  </si>
  <si>
    <t xml:space="preserve">TSN100 GN 8/9</t>
  </si>
  <si>
    <t xml:space="preserve">Calc</t>
  </si>
  <si>
    <t xml:space="preserve">Equals sum of all duct bank segments above.</t>
  </si>
  <si>
    <t xml:space="preserve">Concrete encasement — DB1 runs</t>
  </si>
  <si>
    <t xml:space="preserve">16" H x 23" W section (2.56 SF)</t>
  </si>
  <si>
    <t xml:space="preserve">3000 psi concrete; 4-#4 longitudinal rebar; #3 wire hoops @18" OC; plastic spacers @4' OC</t>
  </si>
  <si>
    <t xml:space="preserve">A8/TSN400</t>
  </si>
  <si>
    <t xml:space="preserve">CY</t>
  </si>
  <si>
    <t xml:space="preserve">Qty = DB1 LF x 2.56 SF / 27. Reinforcement may vary w/ soil conditions per structural.</t>
  </si>
  <si>
    <t xml:space="preserve">Concrete encasement — DB2 runs</t>
  </si>
  <si>
    <t xml:space="preserve">25" x 25" section (4.34 SF)</t>
  </si>
  <si>
    <t xml:space="preserve">A13/TSN400</t>
  </si>
  <si>
    <t xml:space="preserve">Qty = DB2 LF x 4.34 SF / 27.</t>
  </si>
  <si>
    <t xml:space="preserve">Concrete encasement — DB3 runs (assumed encased; no section drawn)</t>
  </si>
  <si>
    <t xml:space="preserve">14" x 8-1/2" envelope (0.83 SF)</t>
  </si>
  <si>
    <t xml:space="preserve">3000 psi concrete (assumed, matching DB1/DB2)</t>
  </si>
  <si>
    <t xml:space="preserve">TSN100 sched.</t>
  </si>
  <si>
    <t xml:space="preserve">Qty = DB3 LF x 0.83 SF / 27. Verify concrete-encased vs. direct-buried (RFI-2).</t>
  </si>
  <si>
    <t xml:space="preserve">Bonding conductor, power-to-telecom plant bond; bond metallic-sheath cables at each MH</t>
  </si>
  <si>
    <t xml:space="preserve">#6 AWG min</t>
  </si>
  <si>
    <t xml:space="preserve">Bare Cu bonding conductor per NEC/NESC (IEEE C2); MH bonding ribbon connections</t>
  </si>
  <si>
    <t xml:space="preserve">TSN100 GN 3/12</t>
  </si>
  <si>
    <t xml:space="preserve">Pull string / mule tape in all conduits &amp; innerduct cells</t>
  </si>
  <si>
    <t xml:space="preserve">Polyester mule tape, 1,250 lb (assumed); empty conduits w/ 200-lb test pull string per TSN notes</t>
  </si>
  <si>
    <t xml:space="preserve">TSN gen. notes</t>
  </si>
  <si>
    <t xml:space="preserve">D. OSP CABLING (TSN300 site one-line)</t>
  </si>
  <si>
    <t xml:space="preserve">OSP fiber — Bldg A to MH/HH system incl. coils for future connection at Bldg B/C and east gate handholes</t>
  </si>
  <si>
    <t xml:space="preserve">12-strand</t>
  </si>
  <si>
    <t xml:space="preserve">OM4 50/125 multimode, OSP-rated (gel-free, assumed), green-dashed runs per TSN300</t>
  </si>
  <si>
    <t xml:space="preserve">TSN300</t>
  </si>
  <si>
    <t xml:space="preserve">Routes + 20% slack + coils (QC: coiled for future connection at HH1s). Revise when cable schedule issued.</t>
  </si>
  <si>
    <t xml:space="preserve">Fiber terminations, LIU/patch panel at Bldg A, testing &amp; documentation</t>
  </si>
  <si>
    <t xml:space="preserve">12 strands</t>
  </si>
  <si>
    <t xml:space="preserve">LC LIU/patch panel (assumed); OTDR + insertion loss testing, labeling per TIA-606</t>
  </si>
  <si>
    <t xml:space="preserve">TSN300; TSN001 matrix</t>
  </si>
  <si>
    <t xml:space="preserve">Contractor per responsibility matrix (Div 27).</t>
  </si>
  <si>
    <t xml:space="preserve">D3</t>
  </si>
  <si>
    <t xml:space="preserve">OSP copper backbone cabling — TBD (QC: 'Where is the OSP copper?')</t>
  </si>
  <si>
    <t xml:space="preserve">Pair count TBD</t>
  </si>
  <si>
    <t xml:space="preserve">OSP-rated copper backbone (type/size not shown at 65%)</t>
  </si>
  <si>
    <t xml:space="preserve">TSN300 QC</t>
  </si>
  <si>
    <t xml:space="preserve">Matrix lists copper backbone as Contractor scope but none shown on one-line — carry allowance / RFI.</t>
  </si>
  <si>
    <t xml:space="preserve">D4</t>
  </si>
  <si>
    <t xml:space="preserve">ISP fiber &amp; ISP telecom pedestal — BY ISP</t>
  </si>
  <si>
    <t xml:space="preserve">Per ISP</t>
  </si>
  <si>
    <t xml:space="preserve">ISP-furnished fiber &amp; pedestal; contractor provides DB1 pathway (item B1)</t>
  </si>
  <si>
    <t xml:space="preserve">TELECOM OSP TOTAL</t>
  </si>
  <si>
    <t xml:space="preserve">SECURITY SYSTEMS TAKEOFF (Sheets TSY001, TSY002, TSY100, TSY101)</t>
  </si>
  <si>
    <t xml:space="preserve">A. FIELD DEVICES — GATES</t>
  </si>
  <si>
    <t xml:space="preserve">Pedestal-mounted video intercom w/ integrated card reader, concrete footer &amp; conduit</t>
  </si>
  <si>
    <t xml:space="preserve">48" above roadway; min 2" sq pedestal</t>
  </si>
  <si>
    <t xml:space="preserve">Welded 316 stainless gooseneck pedestal, heavy wall; PoE video intercom + reader; 1" conduit for signal; footer to frost depth, 20" from curb</t>
  </si>
  <si>
    <t xml:space="preserve">TSY100; A1/TSY101</t>
  </si>
  <si>
    <t xml:space="preserve">East vehicle gates at HH1-5 &amp; HH1-6. QC: locations updated per civil — verify against updated background.</t>
  </si>
  <si>
    <t xml:space="preserve">Building-mounted video intercom w/ integrated card reader — vehicle gate at Bldg B</t>
  </si>
  <si>
    <t xml:space="preserve">Mtg ht 3'-10" AFF (typ per TSY001)</t>
  </si>
  <si>
    <t xml:space="preserve">Wall-mount video intercom/reader; 4-11/16" sq 2-device mud-ring box, 2-1/8" deep; (1) 1" C stub</t>
  </si>
  <si>
    <t xml:space="preserve">TSY100; TSY001 sched.</t>
  </si>
  <si>
    <t xml:space="preserve">Building-mounted card reader — pedestrian gate (Bldg C area)</t>
  </si>
  <si>
    <t xml:space="preserve">Mtg ht 3'-6" AFF (typ per TSY001)</t>
  </si>
  <si>
    <t xml:space="preserve">Card reader; 4-11/16" sq 1-device mud-ring box, 2-1/8" deep; (1) 3/4" C stub</t>
  </si>
  <si>
    <t xml:space="preserve">QC: shift reader to wall mount at the gate; OSP-rated ACS cable keynote to be added.</t>
  </si>
  <si>
    <t xml:space="preserve">Card reader at personnel swing gate (TSY101 inset, KN 7) — additional to A3?</t>
  </si>
  <si>
    <t xml:space="preserve">Mtg ht 3'-6" AFF (typ)</t>
  </si>
  <si>
    <t xml:space="preserve">Card reader in WP enclosure (see A8 rough-in)</t>
  </si>
  <si>
    <t xml:space="preserve">TSY101 inset KN 7-9</t>
  </si>
  <si>
    <t xml:space="preserve">Inset shows readers at swing gate (KN 8) &amp; personnel swing gate (KN 9, gates per C-503). VERIFY overlap with A2/A3 before pricing.</t>
  </si>
  <si>
    <t xml:space="preserve">Vehicle gate operator connection/interface (operator &amp; gate by others — civil C-503)</t>
  </si>
  <si>
    <t xml:space="preserve">Gate command wiring, dry-contact/relay interface to operator controller</t>
  </si>
  <si>
    <t xml:space="preserve">TSY101 flow diag.</t>
  </si>
  <si>
    <t xml:space="preserve">VEH GATE 1/2/3 operators. 120V power JB by electrical (Site Electrical D1).</t>
  </si>
  <si>
    <t xml:space="preserve">Vehicle exit loop w/ lead-in to gate operator</t>
  </si>
  <si>
    <t xml:space="preserve">Loop size per operator mfr</t>
  </si>
  <si>
    <t xml:space="preserve">Preformed or saw-cut inductive loop + sealant + lead-in</t>
  </si>
  <si>
    <t xml:space="preserve">Gate position switch (DPS) on sliding gate</t>
  </si>
  <si>
    <t xml:space="preserve">Magnet on gate + position switch on fence-post bracket; armored cable; WP single-gang box; 3/4" conduit to handhole</t>
  </si>
  <si>
    <t xml:space="preserve">A7/TSY101</t>
  </si>
  <si>
    <t xml:space="preserve">Assumed one per vehicle gate; verify sliding vs. swing gate count w/ C-503.</t>
  </si>
  <si>
    <t xml:space="preserve">Access control rough-in at fence gates</t>
  </si>
  <si>
    <t xml:space="preserve">(2) 1" conduits to SEC</t>
  </si>
  <si>
    <t xml:space="preserve">WP sheet-metal enclosure for card reader; swinging gate lock &amp; bracket; torx/peg tamper-resistant hardware</t>
  </si>
  <si>
    <t xml:space="preserve">A13/TSY101; GN 18</t>
  </si>
  <si>
    <t xml:space="preserve">Per access control gate rough-in detail (swing/personnel gates).</t>
  </si>
  <si>
    <t xml:space="preserve">B. HEAD END (COMM 124, Bldg A) &amp; PANELS</t>
  </si>
  <si>
    <t xml:space="preserve">Access control panel ACP1</t>
  </si>
  <si>
    <t xml:space="preserve">Surface mount, 5'-0" AFF (TSY001 sched.)</t>
  </si>
  <si>
    <t xml:space="preserve">ACP w/ enclosure &amp; power supply, Div 28; mount to fire-rated plywood</t>
  </si>
  <si>
    <t xml:space="preserve">G2/TSY101; TSY001</t>
  </si>
  <si>
    <t xml:space="preserve">Access control panel ACP2 ('if necessary')</t>
  </si>
  <si>
    <t xml:space="preserve">Surface mount, 5'-0" AFF</t>
  </si>
  <si>
    <t xml:space="preserve">ACP w/ enclosure &amp; power supply, Div 28</t>
  </si>
  <si>
    <t xml:space="preserve">G2/TSY101</t>
  </si>
  <si>
    <t xml:space="preserve">Shown dashed / 'IF NECESSARY' — carry until panel count confirmed.</t>
  </si>
  <si>
    <t xml:space="preserve">Equipment rack, COMM 124</t>
  </si>
  <si>
    <t xml:space="preserve">12U</t>
  </si>
  <si>
    <t xml:space="preserve">Wall/floor rack per detail</t>
  </si>
  <si>
    <t xml:space="preserve">ACS server + access control software, licensing &amp; commissioning</t>
  </si>
  <si>
    <t xml:space="preserve">Rack-mount</t>
  </si>
  <si>
    <t xml:space="preserve">ACS server, Div 28 contractor furnished/installed per matrix</t>
  </si>
  <si>
    <t xml:space="preserve">G2/TSY101; TSY002</t>
  </si>
  <si>
    <t xml:space="preserve">VIC (video intercom) master station</t>
  </si>
  <si>
    <t xml:space="preserve">Desktop (TSY001 sched.)</t>
  </si>
  <si>
    <t xml:space="preserve">Video intercom master station w/ (1) copper cable to switch; surface mount to desk</t>
  </si>
  <si>
    <t xml:space="preserve">Video intercom system remains contractor scope per TSY002.</t>
  </si>
  <si>
    <t xml:space="preserve">Security network switch — OWNER furnished/installed; coordination only</t>
  </si>
  <si>
    <t xml:space="preserve">PoE</t>
  </si>
  <si>
    <t xml:space="preserve">Owner network switch (matrix: owner/owner)</t>
  </si>
  <si>
    <t xml:space="preserve">TSY002 matrix</t>
  </si>
  <si>
    <t xml:space="preserve">VSS (video surveillance) server — EXCLUDED (struck from TSY002 at 65%)</t>
  </si>
  <si>
    <t xml:space="preserve">TSY002</t>
  </si>
  <si>
    <t xml:space="preserve">Excluded</t>
  </si>
  <si>
    <t xml:space="preserve">VSS head-end, cameras &amp; cabling struck on matrix but still drawn on G2/TSY101 rack — VERIFY deletion before bid.</t>
  </si>
  <si>
    <t xml:space="preserve">Surge protection devices &amp; associated cabling (head end + field)</t>
  </si>
  <si>
    <t xml:space="preserve">SPDs on OSP copper entering building + device circuits, Div 28</t>
  </si>
  <si>
    <t xml:space="preserve">C. CABLING (homeruns via telecom duct bank system to COMM 124)</t>
  </si>
  <si>
    <t xml:space="preserve">OSP-rated access control cable to each card reader location</t>
  </si>
  <si>
    <t xml:space="preserve">Composite/multi-conductor per spec 28</t>
  </si>
  <si>
    <t xml:space="preserve">OSP-rated ACS cable (reader/lock/DPS/REX composite assumed)</t>
  </si>
  <si>
    <t xml:space="preserve">TSY100 QC notes</t>
  </si>
  <si>
    <t xml:space="preserve">5 reader locations; homerun lengths estimated along duct routes + slack.</t>
  </si>
  <si>
    <t xml:space="preserve">Extended-reach copper data cable to each intercom (3)</t>
  </si>
  <si>
    <t xml:space="preserve">4-pair, 22 AWG min</t>
  </si>
  <si>
    <t xml:space="preserve">Extended-reach PoE-rated OSP copper data cable (per TSY101 riser note &amp; QC keynote)</t>
  </si>
  <si>
    <t xml:space="preserve">TSY101; TSY100 QC</t>
  </si>
  <si>
    <t xml:space="preserve">(3) cables per riser note. Verify length/bandwidth/PoE load/voltage-drop per mfr (GN 9) — east gate run ±600 LF.</t>
  </si>
  <si>
    <t xml:space="preserve">ACS cables, ACP1/ACP2 to Bldg A doors/monitored devices — BUILDING PACKAGE</t>
  </si>
  <si>
    <t xml:space="preserve">Interior building security in Building A package, excluded from site takeoff.</t>
  </si>
  <si>
    <t xml:space="preserve">Testing, labeling, commissioning, software licensing — all site security systems; record drawings</t>
  </si>
  <si>
    <t xml:space="preserve">Per TSY100 GN 8 &amp; Div 28</t>
  </si>
  <si>
    <t xml:space="preserve">TSY002; TSY100 GN 8</t>
  </si>
  <si>
    <t xml:space="preserve">D. EXCLUSIONS (struck from TSY002 responsibility matrix at 65% — VERIFY)</t>
  </si>
  <si>
    <t xml:space="preserve">Video surveillance cameras, mounting hardware, network cabling, head-end server &amp; storage</t>
  </si>
  <si>
    <t xml:space="preserve">Struck through in red on matrix.</t>
  </si>
  <si>
    <t xml:space="preserve">Intrusion detection system (head end, DPS/glass break/motion devices, cabling)</t>
  </si>
  <si>
    <t xml:space="preserve">Wireless access points &amp; enclosures; servers/routers/firewalls/phones/computers</t>
  </si>
  <si>
    <t xml:space="preserve">Owner items / struck.</t>
  </si>
  <si>
    <t xml:space="preserve">Emergency blue phones &amp; associated cabling</t>
  </si>
  <si>
    <t xml:space="preserve">SECURITY TOTAL</t>
  </si>
  <si>
    <t xml:space="preserve">MATERIALS, MAKES &amp; MODELS — PROCUREMENT LIST</t>
  </si>
  <si>
    <t xml:space="preserve">'Specified' = named on the 65% drawings. 'Basis-of-design (suggested)' = drawings silent — a common product meeting the drawn requirements, offered for pricing only; Div 26/27/28 specs govern. Qty cells link live to the takeoff tabs.</t>
  </si>
  <si>
    <t xml:space="preserve">Cat.</t>
  </si>
  <si>
    <t xml:space="preserve">Size / Rating</t>
  </si>
  <si>
    <t xml:space="preserve">Manufacturer</t>
  </si>
  <si>
    <t xml:space="preserve">Model / Part No.</t>
  </si>
  <si>
    <t xml:space="preserve">Spec Status</t>
  </si>
  <si>
    <t xml:space="preserve">LIGHTING</t>
  </si>
  <si>
    <t xml:space="preserve">L1</t>
  </si>
  <si>
    <t xml:space="preserve">Area luminaire EA1 (Type 3, backlight control, house-side shield)</t>
  </si>
  <si>
    <t xml:space="preserve">35' pole mt; 277V; 3000K/80CRI; P3 pkg</t>
  </si>
  <si>
    <t xml:space="preserve">Lithonia Lighting (Acuity)</t>
  </si>
  <si>
    <t xml:space="preserve">DSX1-LED-P3-30K-80CRI-BLC3-MVOLT-XXXX-PIR-SPD20KV-HS-EGSR-DDXX</t>
  </si>
  <si>
    <t xml:space="preserve">Specified</t>
  </si>
  <si>
    <t xml:space="preserve">D-Series Size 1. Wattage/lumen columns blank on 65% schedule — per fixture submittal. XXXX = distribution/finish fields to complete.</t>
  </si>
  <si>
    <t xml:space="preserve">L2</t>
  </si>
  <si>
    <t xml:space="preserve">Area luminaire EA2 (Type 5 wide)</t>
  </si>
  <si>
    <t xml:space="preserve">DSX1-LED-P3-30K-80CRI-T5W-MVOLT-XXXX-PIR-SPD20KV-EGSR-DDXX</t>
  </si>
  <si>
    <t xml:space="preserve">Plan symbol shows twin heads/pole — RFI-3.</t>
  </si>
  <si>
    <t xml:space="preserve">L3</t>
  </si>
  <si>
    <t xml:space="preserve">Area luminaire EA3 (short-throw T1S, house-side shield)</t>
  </si>
  <si>
    <t xml:space="preserve">DSX1-LED-P3-30K-80CRI-T1S-MVOLT-XXXX-PIR-SPD20KV-HS-EGSR-DDXX</t>
  </si>
  <si>
    <t xml:space="preserve">L4</t>
  </si>
  <si>
    <t xml:space="preserve">Light pole, round straight steel or aluminum</t>
  </si>
  <si>
    <t xml:space="preserve">35'-0 nominal; drilled for D-Series arm</t>
  </si>
  <si>
    <t xml:space="preserve">Valmont / RSA / Lithonia SSS (or equal)</t>
  </si>
  <si>
    <t xml:space="preserve">Per luminaire mfr pole selector, EPA per wind load</t>
  </si>
  <si>
    <t xml:space="preserve">TBD</t>
  </si>
  <si>
    <t xml:space="preserve">Pole make/finish NOT scheduled at 65% — coordinate w/ luminaire order; anchor bolts per mfr (2/ES601).</t>
  </si>
  <si>
    <t xml:space="preserve">L5</t>
  </si>
  <si>
    <t xml:space="preserve">LED bollard EB1 (RADEAN)</t>
  </si>
  <si>
    <t xml:space="preserve">8-1/4" dia x 41-1/2" H; 277V; 3000K/80CRI</t>
  </si>
  <si>
    <t xml:space="preserve">Lithonia Lighting (Acuity) — schedule says 'Luminis'</t>
  </si>
  <si>
    <t xml:space="preserve">RADB-LED-P1-30K-SYM-PIR-BTT-BCF-HXX-DDXX</t>
  </si>
  <si>
    <t xml:space="preserve">RADB is Lithonia's RADEAN bollard (Luminis is a sister Acuity brand) — RFI-13 to correct schedule mfr.</t>
  </si>
  <si>
    <t xml:space="preserve">L6</t>
  </si>
  <si>
    <t xml:space="preserve">Flagpole downlight EF1 (StarGazer)</t>
  </si>
  <si>
    <t xml:space="preserve">Size M (flags to 15'x25'); 3000K; LED</t>
  </si>
  <si>
    <t xml:space="preserve">Eagle Mountain Flag &amp; Flagpole</t>
  </si>
  <si>
    <t xml:space="preserve">SG-3K-EHS-M-XX (external halyard, stationary truck)</t>
  </si>
  <si>
    <t xml:space="preserve">Dark-sky downlight; remote drivers in buried WP box (ES101 KN 10).</t>
  </si>
  <si>
    <t xml:space="preserve">L7</t>
  </si>
  <si>
    <t xml:space="preserve">WP enclosure for EF1 remote drivers</t>
  </si>
  <si>
    <t xml:space="preserve">Burial/landscape rated, NEMA 4/6P (assumed)</t>
  </si>
  <si>
    <t xml:space="preserve">TBD (per driver mfr)</t>
  </si>
  <si>
    <t xml:space="preserve">Verify enclosure &amp; driver model w/ Eagle Mountain submittal.</t>
  </si>
  <si>
    <t xml:space="preserve">SERVICE &amp; POWER</t>
  </si>
  <si>
    <t xml:space="preserve">P1</t>
  </si>
  <si>
    <t xml:space="preserve">Pad-mount transformer</t>
  </si>
  <si>
    <t xml:space="preserve">480/277V 3-ph; kVA TBD by utility</t>
  </si>
  <si>
    <t xml:space="preserve">Xcel Energy</t>
  </si>
  <si>
    <t xml:space="preserve">By Others</t>
  </si>
  <si>
    <t xml:space="preserve">XE furnished/installed; pad &amp; grounding by GC/EC.</t>
  </si>
  <si>
    <t xml:space="preserve">P2</t>
  </si>
  <si>
    <t xml:space="preserve">Meter housing + CT cabinet</t>
  </si>
  <si>
    <t xml:space="preserve">Per XE metering standard; NEMA 3R</t>
  </si>
  <si>
    <t xml:space="preserve">Milbank / B-Line (or per XE approved list)</t>
  </si>
  <si>
    <t xml:space="preserve">Per XE metering spec</t>
  </si>
  <si>
    <t xml:space="preserve">BOD (suggested)</t>
  </si>
  <si>
    <t xml:space="preserve">EC furnishes/installs housing; XE sets meter (ES101 KN 4).</t>
  </si>
  <si>
    <t xml:space="preserve">P3</t>
  </si>
  <si>
    <t xml:space="preserve">Exterior JB for gate operator power</t>
  </si>
  <si>
    <t xml:space="preserve">Min 4-11/16" sq (NEC 314); NEMA 3R/4</t>
  </si>
  <si>
    <t xml:space="preserve">Hoffman / Wiegmann (or equal)</t>
  </si>
  <si>
    <t xml:space="preserve">Galvanized steel, gasketed, stamped</t>
  </si>
  <si>
    <t xml:space="preserve">Per ES101 KN 7; 2#10+1#10G, 3/4"C, 120V.</t>
  </si>
  <si>
    <t xml:space="preserve">P4</t>
  </si>
  <si>
    <t xml:space="preserve">Ground rods &amp; bonding</t>
  </si>
  <si>
    <t xml:space="preserve">5/8" x 8' (assumed); #6 bare Cu</t>
  </si>
  <si>
    <t xml:space="preserve">ERICO / Harger (or equal)</t>
  </si>
  <si>
    <t xml:space="preserve">Cu-clad rod + exothermic or irreversible compression</t>
  </si>
  <si>
    <t xml:space="preserve">Rod size not on drawings — confirm Div 26 spec.</t>
  </si>
  <si>
    <t xml:space="preserve">TELECOM OSP</t>
  </si>
  <si>
    <t xml:space="preserve">T1</t>
  </si>
  <si>
    <t xml:space="preserve">Telecom maintenance hole MH1</t>
  </si>
  <si>
    <t xml:space="preserve">8'-0" x 96" x 96"; base 9,275 lb / top 2,100 lb</t>
  </si>
  <si>
    <t xml:space="preserve">Oldcastle / Jensen Precast (or regional precaster)</t>
  </si>
  <si>
    <t xml:space="preserve">'4260' base + top deck per H1/TSN400</t>
  </si>
  <si>
    <t xml:space="preserve">'4260' designation from detail — confirm precaster &amp; traffic rating of cover.</t>
  </si>
  <si>
    <t xml:space="preserve">T2</t>
  </si>
  <si>
    <t xml:space="preserve">Telecom handhole HH1</t>
  </si>
  <si>
    <t xml:space="preserve">Hubbell/Quazite or Armorcast (or equal)</t>
  </si>
  <si>
    <t xml:space="preserve">Polymer concrete box + slip-resistant bolted cover, ANSI Tier (non-deliberate traffic)</t>
  </si>
  <si>
    <t xml:space="preserve">NOT vehicle-traffic rated per A1/TSN400 — keep out of pavement.</t>
  </si>
  <si>
    <t xml:space="preserve">T3</t>
  </si>
  <si>
    <t xml:space="preserve">Duct bank conduit, 4"</t>
  </si>
  <si>
    <t xml:space="preserve">4" PVC Type DB/EB (concrete-encased)</t>
  </si>
  <si>
    <t xml:space="preserve">Cantex / JM Eagle (or equal)</t>
  </si>
  <si>
    <t xml:space="preserve">DB-60/DB-120 PVC duct</t>
  </si>
  <si>
    <t xml:space="preserve">Conduit-feet: DB1 LF x2 + DB2 LF x4 (live formula).</t>
  </si>
  <si>
    <t xml:space="preserve">T4</t>
  </si>
  <si>
    <t xml:space="preserve">Duct bank conduit, 2"</t>
  </si>
  <si>
    <t xml:space="preserve">2" PVC</t>
  </si>
  <si>
    <t xml:space="preserve">Sch 40/DB PVC</t>
  </si>
  <si>
    <t xml:space="preserve">DB3 LF x 2 conduits (live formula).</t>
  </si>
  <si>
    <t xml:space="preserve">T5</t>
  </si>
  <si>
    <t xml:space="preserve">Fabric innerduct, 4" 3-cell</t>
  </si>
  <si>
    <t xml:space="preserve">4", 3-cell, w/ pull tapes</t>
  </si>
  <si>
    <t xml:space="preserve">MaxCell</t>
  </si>
  <si>
    <t xml:space="preserve">MaxCell 4" 3-cell (MXE4 series)</t>
  </si>
  <si>
    <t xml:space="preserve">'MaxCell' named on TSN100 duct bank schedule — one per conduit.</t>
  </si>
  <si>
    <t xml:space="preserve">T6</t>
  </si>
  <si>
    <t xml:space="preserve">Fabric innerduct, 2" 3-cell</t>
  </si>
  <si>
    <t xml:space="preserve">2", 3-cell, w/ pull tapes</t>
  </si>
  <si>
    <t xml:space="preserve">MaxCell 2" 3-cell (MXE2 series)</t>
  </si>
  <si>
    <t xml:space="preserve">One per DB3 conduit.</t>
  </si>
  <si>
    <t xml:space="preserve">T7</t>
  </si>
  <si>
    <t xml:space="preserve">OSP fiber, 12-strand OM4</t>
  </si>
  <si>
    <t xml:space="preserve">12F OM4 50/125 MM, OSP gel-free</t>
  </si>
  <si>
    <t xml:space="preserve">Corning / OFS (or equal)</t>
  </si>
  <si>
    <t xml:space="preserve">e.g. Corning ALTOS 012TU4-T4790D20</t>
  </si>
  <si>
    <t xml:space="preserve">Type on TSN300 is generic '12-STRAND OM4 FIBER' — exact cable per Div 27 spec.</t>
  </si>
  <si>
    <t xml:space="preserve">T8</t>
  </si>
  <si>
    <t xml:space="preserve">Fiber termination hardware @ Bldg A</t>
  </si>
  <si>
    <t xml:space="preserve">12F LC (assumed)</t>
  </si>
  <si>
    <t xml:space="preserve">Corning CCH / Panduit (or equal)</t>
  </si>
  <si>
    <t xml:space="preserve">LIU/patch panel + pigtails/splice</t>
  </si>
  <si>
    <t xml:space="preserve">OTDR + IL testing per TIA; labeling per TIA-606.</t>
  </si>
  <si>
    <t xml:space="preserve">T9</t>
  </si>
  <si>
    <t xml:space="preserve">Detectable warning tape &amp; mule tape</t>
  </si>
  <si>
    <t xml:space="preserve">6" tape @12" above duct; 1,250-lb tape</t>
  </si>
  <si>
    <t xml:space="preserve">Presco / Neptco (or equal)</t>
  </si>
  <si>
    <t xml:space="preserve">"CAUTION BURIED TELECOM" + WP1250 mule tape</t>
  </si>
  <si>
    <t xml:space="preserve">Tape LF = trench LF (live).</t>
  </si>
  <si>
    <t xml:space="preserve">SECURITY (Div 28 — models per spec; BOD offered where drawings silent)</t>
  </si>
  <si>
    <t xml:space="preserve">S1</t>
  </si>
  <si>
    <t xml:space="preserve">Video intercom door/pedestal station w/ integrated reader</t>
  </si>
  <si>
    <t xml:space="preserve">PoE; vandal/weather resistant; flush or pedestal</t>
  </si>
  <si>
    <t xml:space="preserve">Aiphone (or equal)</t>
  </si>
  <si>
    <t xml:space="preserve">IX Series 2 (e.g. IX-DVM) + reader module</t>
  </si>
  <si>
    <t xml:space="preserve">Matches 'VIC' video intercom system &amp; extended-reach PoE copper architecture (TSY101).</t>
  </si>
  <si>
    <t xml:space="preserve">S2</t>
  </si>
  <si>
    <t xml:space="preserve">Video intercom master station</t>
  </si>
  <si>
    <t xml:space="preserve">Desktop, video</t>
  </si>
  <si>
    <t xml:space="preserve">IX-MV7-* master</t>
  </si>
  <si>
    <t xml:space="preserve">Desktop mount per TSY001 schedule.</t>
  </si>
  <si>
    <t xml:space="preserve">S3</t>
  </si>
  <si>
    <t xml:space="preserve">Gooseneck pedestal, 316 SS</t>
  </si>
  <si>
    <t xml:space="preserve">48" above roadway; min 2" sq heavy wall</t>
  </si>
  <si>
    <t xml:space="preserve">Pedestal PRO (or equal)</t>
  </si>
  <si>
    <t xml:space="preserve">316 SS gooseneck w/ template L-bolts x4</t>
  </si>
  <si>
    <t xml:space="preserve">Welded 316 SS required by A1/TSY101; footer to frost +20" from curb.</t>
  </si>
  <si>
    <t xml:space="preserve">S4</t>
  </si>
  <si>
    <t xml:space="preserve">Card readers</t>
  </si>
  <si>
    <t xml:space="preserve">Mullion/single-gang; 3'-6" AFF</t>
  </si>
  <si>
    <t xml:space="preserve">HID (or equal)</t>
  </si>
  <si>
    <t xml:space="preserve">Signo 20 / 20K</t>
  </si>
  <si>
    <t xml:space="preserve">Reader tech (prox/SEOS/PIV) per DOE requirements — confirm; boxes per TSY001 schedule.</t>
  </si>
  <si>
    <t xml:space="preserve">S5</t>
  </si>
  <si>
    <t xml:space="preserve">Access control panels ACP1/ACP2</t>
  </si>
  <si>
    <t xml:space="preserve">Surface mt 5'-0" AFF on fire-rated plywood</t>
  </si>
  <si>
    <t xml:space="preserve">LenelS2 / Software House / Mercury-based (or equal)</t>
  </si>
  <si>
    <t xml:space="preserve">Per Div 28 spec &amp; DOE standard</t>
  </si>
  <si>
    <t xml:space="preserve">Head-end platform not named on drawings — owner standard governs.</t>
  </si>
  <si>
    <t xml:space="preserve">S6</t>
  </si>
  <si>
    <t xml:space="preserve">Gate position switch (DPS)</t>
  </si>
  <si>
    <t xml:space="preserve">Industrial gate switch w/ armored lead</t>
  </si>
  <si>
    <t xml:space="preserve">Sentrol/Edwards 2500-series (or equal)</t>
  </si>
  <si>
    <t xml:space="preserve">e.g. 2507A w/ magnet &amp; bracket</t>
  </si>
  <si>
    <t xml:space="preserve">Per A7/TSY101: magnet on gate, switch on fence post, WP 1-gang box, 3/4"C to HH.</t>
  </si>
  <si>
    <t xml:space="preserve">S7</t>
  </si>
  <si>
    <t xml:space="preserve">Vehicle exit loops</t>
  </si>
  <si>
    <t xml:space="preserve">Preformed loop size per operator mfr</t>
  </si>
  <si>
    <t xml:space="preserve">EMX / Reno A&amp;E (or equal)</t>
  </si>
  <si>
    <t xml:space="preserve">Preformed loop + matching detector in operator</t>
  </si>
  <si>
    <t xml:space="preserve">Gate operators (36' cantilever slide gates per C-502/C-503) by others.</t>
  </si>
  <si>
    <t xml:space="preserve">S8</t>
  </si>
  <si>
    <t xml:space="preserve">Extended-reach PoE copper data cable</t>
  </si>
  <si>
    <t xml:space="preserve">4-pair, 22 AWG min, OSP-rated</t>
  </si>
  <si>
    <t xml:space="preserve">Paige (or equal)</t>
  </si>
  <si>
    <t xml:space="preserve">GameChanger PD2201EX (OSP)</t>
  </si>
  <si>
    <t xml:space="preserve">Named performance (extended-reach, 22AWG, PoE) on TSY101/QC — GameChanger is the common BOD; verify E gate run length vs. mfr limit.</t>
  </si>
  <si>
    <t xml:space="preserve">S9</t>
  </si>
  <si>
    <t xml:space="preserve">OSP access control composite cable</t>
  </si>
  <si>
    <t xml:space="preserve">Reader/lock/DPS/REX composite, OSP</t>
  </si>
  <si>
    <t xml:space="preserve">Windy City Wire / West Penn (or equal)</t>
  </si>
  <si>
    <t xml:space="preserve">Per Div 28 spec</t>
  </si>
  <si>
    <t xml:space="preserve">S10</t>
  </si>
  <si>
    <t xml:space="preserve">Equipment rack + SPDs</t>
  </si>
  <si>
    <t xml:space="preserve">12U rack; SPDs on OSP copper &amp; device circuits</t>
  </si>
  <si>
    <t xml:space="preserve">Middle Atlantic / CPI; DITEK (or equal)</t>
  </si>
  <si>
    <t xml:space="preserve">12U wall rack; DTK series SPD</t>
  </si>
  <si>
    <t xml:space="preserve">Rack per G2/TSY101; SPD line item Security B8.</t>
  </si>
  <si>
    <t xml:space="preserve">ASSUMPTIONS, CLARIFICATIONS &amp; EXCLUSIONS</t>
  </si>
  <si>
    <t xml:space="preserve">1. DOCUMENTS USED</t>
  </si>
  <si>
    <t xml:space="preserve">Drawing set 1</t>
  </si>
  <si>
    <t xml:space="preserve">DOE LM Site Improvement Package, 65% Submittal QC set, 43 sheets (Kenall project 8134, issue date Sept 02 2026) — sheets reviewed for this takeoff: G-001/002, CD101, E-001, ES101, ES601, TSN001/100/300/400, TSY001/002/100/101.</t>
  </si>
  <si>
    <t xml:space="preserve">Drawing set 2</t>
  </si>
  <si>
    <t xml:space="preserve">Exterior Electrical/Comm QC extract, 10 sheets (ES101, ES601, TSN001/100/300/400, TSY001/002/100/101, plot date 8/25-8/26/2026). Sheets are identical in content to set 1 counterparts; tag counts verified to match in both sets.</t>
  </si>
  <si>
    <t xml:space="preserve">Not available</t>
  </si>
  <si>
    <t xml:space="preserve">Specifications (Div 26/27/28, 33 71 02), electrical one-line diagram, panel schedules, building 'A' package. Items referencing the one-line are carried as allowances; sizes marked '(assumed)' or 'TBD' pending these documents.</t>
  </si>
  <si>
    <t xml:space="preserve">2. TAKEOFF METHODOLOGY</t>
  </si>
  <si>
    <t xml:space="preserve">Device/fixture symbol and tag counts taken from plan text layer and verified visually on rendered sheets (both drawing sets agree).</t>
  </si>
  <si>
    <t xml:space="preserve">Lengths printed on TSN100 used verbatim (converted to decimal feet).</t>
  </si>
  <si>
    <t xml:space="preserve">Undimensioned routes measured off 150-dpi renders at the stated sheet scale 1"=30'-0" (±10% typical, ±25% for demo lines). The TSN100 graphic scale bar is wrong per QC comment ('scale bar does not match') — the title scale was used.</t>
  </si>
  <si>
    <t xml:space="preserve">Work that is clearly required but not yet drawn at 65% (site lighting branch circuits, security homerun cabling, OSP copper). Quantities are order-of-magnitude placeholders — revise at 95%.</t>
  </si>
  <si>
    <t xml:space="preserve">Sizes &amp; types</t>
  </si>
  <si>
    <t xml:space="preserve">Size and Type/Material/Model columns are transcribed from the ES601 luminaire schedule, TSN100 site device &amp; duct bank schedules, TSN400/TSY101/ES601 details, and TSY001 device schedule. Anything not stated on the drawings is marked '(assumed)' or 'TBD'.</t>
  </si>
  <si>
    <t xml:space="preserve">Pricing</t>
  </si>
  <si>
    <t xml:space="preserve">Unit costs intentionally left blank (yellow cells) for estimator input; all extensions and totals are live formulas.</t>
  </si>
  <si>
    <t xml:space="preserve">3. GENERAL ASSUMPTIONS</t>
  </si>
  <si>
    <t xml:space="preserve">A3.1</t>
  </si>
  <si>
    <t xml:space="preserve">Xcel Energy (XE) performs all primary work: boring/trenching, primary conduit &amp; cable, transformer supply &amp; connections, meter. Contract work starts at secondary landings + pad, grounding, meter housing (ES101 KN 4). Demarcation to be confirmed in Design Analysis (QC 11742742).</t>
  </si>
  <si>
    <t xml:space="preserve">A3.2</t>
  </si>
  <si>
    <t xml:space="preserve">EA2 poles: plan symbol shows twin luminaire heads on a single pole; schedule lists one model. Takeoff carries 7 pole ASSEMBLIES — confirm heads/pole before pricing (14 luminaires if twin).</t>
  </si>
  <si>
    <t xml:space="preserve">A3.3</t>
  </si>
  <si>
    <t xml:space="preserve">All 18 area-light poles are 35'-0" (schedule); foundations per 2/ES601 dimension schedule row '31'-40'' = 2'-0" dia x 9'-6" deep, 8-#5 verts.</t>
  </si>
  <si>
    <t xml:space="preserve">A3.4</t>
  </si>
  <si>
    <t xml:space="preserve">Duct banks DB1/DB2 concrete-encased per TSN400 sections; DB3 assumed concrete-encased (no section drawn) — verify. Note the TSN100 duct bank schedule lists envelope dims (DB1 18"x10-1/2", DB2 18"x18", DB3 14"x8-1/2") that differ from the TSN400 encasement sections (23"x16", 25"x25") — encasement CY is computed from the TSN400 sections; see RFI-11.</t>
  </si>
  <si>
    <t xml:space="preserve">A3.5</t>
  </si>
  <si>
    <t xml:space="preserve">MaxCell 3-cell fabric innerduct in EVERY duct bank conduit per TSN100 duct bank schedule (DB1/DB2: 4" cells; DB3: 2" cells) — included in duct bank unit rates.</t>
  </si>
  <si>
    <t xml:space="preserve">A3.6</t>
  </si>
  <si>
    <t xml:space="preserve">Telecom trench: 30" min cover, below 50-yr freeze line, ≥6' below surface where vehicular traffic crosses (TSN100 GN 8/9); max 600' between MH/HH (GN 4); conduit sloped ≥0.4"/ft to MHs; 6"/12" separations from other utilities (GN 6/7).</t>
  </si>
  <si>
    <t xml:space="preserve">A3.7</t>
  </si>
  <si>
    <t xml:space="preserve">Security homerun cabling routed through the telecom duct bank/MaxCell system to COMM 124 in Bldg A (TSY100 GN); no separate security duct bank carried. Security pathways in EMT or secured cable tray inside buildings (TSY100 GN 6).</t>
  </si>
  <si>
    <t xml:space="preserve">A3.8</t>
  </si>
  <si>
    <t xml:space="preserve">Vehicle gates, fence, sliding/swing gate hardware are CIVIL scope (C-503); this takeoff carries only electrical/security devices, rough-in, loops and terminations at the gates.</t>
  </si>
  <si>
    <t xml:space="preserve">A3.9</t>
  </si>
  <si>
    <t xml:space="preserve">Generator is existing government-owned; relocation + recertification testing by building electrical contractor (ES101 KN 8). Fuel, pad, and mechanical work excluded. Rating TBD from building package.</t>
  </si>
  <si>
    <t xml:space="preserve">A3.10</t>
  </si>
  <si>
    <t xml:space="preserve">Site lighting controls are integral (PIR/dimming) + timeclock in Bldg A lighting control panel (building package); only interface wiring carried. Sequence: on 1 hr before business open, off within 1 hr after close, 10-min timeout, dim to 30%.</t>
  </si>
  <si>
    <t xml:space="preserve">A3.11</t>
  </si>
  <si>
    <t xml:space="preserve">Assumed materials where drawings are silent: PVC Sch 40 for site branch conduits, THWN-2/XHHW-2 Cu conductors, 5/8"x8' Cu-clad ground rods, NEMA 3R/4 exterior enclosures, LC fiber terminations, 1,250-lb mule tape. All flagged '(assumed)' in the Type column.</t>
  </si>
  <si>
    <t xml:space="preserve">4. EXCLUSIONS</t>
  </si>
  <si>
    <t xml:space="preserve">E4.1</t>
  </si>
  <si>
    <t xml:space="preserve">All civil sitework: paving, grading, wet utilities (CU sheets), erosion control, fencing/gates, landscaping, flagpoles (poles themselves).</t>
  </si>
  <si>
    <t xml:space="preserve">E4.2</t>
  </si>
  <si>
    <t xml:space="preserve">Fire protection (FP000) and all Building A/B/C interior electrical, telecom &amp; security (building packages).</t>
  </si>
  <si>
    <t xml:space="preserve">E4.3</t>
  </si>
  <si>
    <t xml:space="preserve">Video surveillance system (cameras, VSS server/storage, VSS cabling), intrusion detection, wireless access points, emergency blue phones — struck from TSY002 responsibility matrix at 65%. VERIFY before bid; TSY101 rack elevation still shows VSS server.</t>
  </si>
  <si>
    <t xml:space="preserve">E4.4</t>
  </si>
  <si>
    <t xml:space="preserve">Owner-furnished items: network switches, routers/firewalls/servers/phones/computers, WAPs (TSY002/TSN001 matrices).</t>
  </si>
  <si>
    <t xml:space="preserve">E4.5</t>
  </si>
  <si>
    <t xml:space="preserve">ISP scope: ISP fiber, ISP pedestal equipment, ISP network cabling (TSN001 matrix) — contractor provides pathway only.</t>
  </si>
  <si>
    <t xml:space="preserve">E4.6</t>
  </si>
  <si>
    <t xml:space="preserve">Xcel Energy scope per A3.1: primary conduit/cable/trenching, transformer, meter device, existing utility transformer demolition.</t>
  </si>
  <si>
    <t xml:space="preserve">E4.7</t>
  </si>
  <si>
    <t xml:space="preserve">Electric-service MH/HH/power poles: ES101 legend defines symbols but none appear on the 65% plan — none carried.</t>
  </si>
  <si>
    <t xml:space="preserve">E4.8</t>
  </si>
  <si>
    <t xml:space="preserve">Hazmat survey/abatement, rock excavation, dewatering, winter conditions, premium time, taxes, bonds, escalation.</t>
  </si>
  <si>
    <t xml:space="preserve">5. OPEN ITEMS / RECOMMENDED RFIs</t>
  </si>
  <si>
    <t xml:space="preserve">RFI-1</t>
  </si>
  <si>
    <t xml:space="preserve">TSN100: overall dim 508'-8 3/4" at HH1-6 does not reconcile with segment dims (312 LF sum MH1-4→HH1-6; 435 LF from MH1-3). Confirm intended overall length / correct dims.</t>
  </si>
  <si>
    <t xml:space="preserve">RFI-2</t>
  </si>
  <si>
    <t xml:space="preserve">DB3 duct bank: confirm concrete encasement vs. direct-bury (no section on TSN400) and confirm the partially-legible 72'-x diagonal dimension HH1-3→corner.</t>
  </si>
  <si>
    <t xml:space="preserve">RFI-3</t>
  </si>
  <si>
    <t xml:space="preserve">Confirm EA2 = one or two luminaires per pole (plan symbol vs. schedule); complete wattage/lumen/CCT columns of luminaire schedule.</t>
  </si>
  <si>
    <t xml:space="preserve">RFI-4</t>
  </si>
  <si>
    <t xml:space="preserve">Confirm final count/locations of card readers at swing &amp; personnel gates (TSY101 inset vs. TSY100) and pedestrian-gate reader wall-mount change (QC).</t>
  </si>
  <si>
    <t xml:space="preserve">RFI-5</t>
  </si>
  <si>
    <t xml:space="preserve">Confirm deletion of video surveillance &amp; intrusion detection (TSY002 strikethroughs) vs. TSY101 rack still showing VSS server &amp; 'to building cameras'.</t>
  </si>
  <si>
    <t xml:space="preserve">RFI-6</t>
  </si>
  <si>
    <t xml:space="preserve">Site lighting circuiting, panel source, and photometric plan to be issued (QC) — allowances C10/C11/D2 must be re-quantified at 95%; confirm conduit/conductor sizes.</t>
  </si>
  <si>
    <t xml:space="preserve">RFI-7</t>
  </si>
  <si>
    <t xml:space="preserve">HH1-1 appears on TSY100 but not TSN100 — confirm 6th handhole.</t>
  </si>
  <si>
    <t xml:space="preserve">RFI-8</t>
  </si>
  <si>
    <t xml:space="preserve">OSP copper backbone shown in matrix but absent from TSN300 one-line ('Where is the OSP copper?' QC) — confirm scope, type and pair count.</t>
  </si>
  <si>
    <t xml:space="preserve">RFI-9</t>
  </si>
  <si>
    <t xml:space="preserve">CD101: confirm counts/limits for UG telephone line removal, electric meter &amp; comm JB demolition; confirm whether telco removes own aerial/UG plant.</t>
  </si>
  <si>
    <t xml:space="preserve">RFI-10</t>
  </si>
  <si>
    <t xml:space="preserve">Relocated EA1 pole at generator (fire-truck access conflict, ES101 QC) — location change may affect circuit lengths.</t>
  </si>
  <si>
    <t xml:space="preserve">RFI-11</t>
  </si>
  <si>
    <t xml:space="preserve">TSN100 duct bank schedule W x H values (DB1 18"x10-1/2", DB2 18"x18", DB3 14"x8-1/2") differ from TSN400 encasement sections (DB1 23"x16", DB2 25"x25") — confirm governing encasement dimensions for concrete quantities.</t>
  </si>
  <si>
    <t xml:space="preserve">RFI-12</t>
  </si>
  <si>
    <t xml:space="preserve">Confirm transformer kVA, generator kW/recertification requirements, and secondary conductor/conduit schedule (one-line, building package).</t>
  </si>
  <si>
    <t xml:space="preserve">RFI-13</t>
  </si>
  <si>
    <t xml:space="preserve">ES601 luminaire schedule lists EB1 manufacturer as 'Luminis', but model RADB-LED is Lithonia Lighting's RADEAN bollard (both Acuity brands) — confirm intended manufacturer/model.</t>
  </si>
  <si>
    <t xml:space="preserve">RFI-14</t>
  </si>
  <si>
    <t xml:space="preserve">Complete the 'XXXX' placeholder fields in the DSX1 catalog strings (finish/options) and the blank wattage/lumen/CCT columns of the luminaire schedule.</t>
  </si>
  <si>
    <t xml:space="preserve">6. MATERIALS &amp; MAKES TAB</t>
  </si>
  <si>
    <t xml:space="preserve">Method</t>
  </si>
  <si>
    <t xml:space="preserve">The 'Materials &amp; Makes' tab consolidates every product into a procurement list. 'Specified' items are named on the drawings (Lithonia DSX1 series, RADB/RADEAN bollard, Eagle Mountain StarGazer SG-EHS, MaxCell innerduct, '4260' precast MH). Where drawings are silent, a clearly-marked basis-of-design (BOD) suggestion is offered for pricing only — Div 26/27/28 specifications and DOE/owner standards govern final selection.</t>
  </si>
  <si>
    <t xml:space="preserve">Verified</t>
  </si>
  <si>
    <t xml:space="preserve">Manufacturer identities verified against current product literature: DSX1 = Lithonia D-Series Size 1 area luminaire (Acuity); RADB = Lithonia RADEAN bollard, 8-1/4" dia x 41-1/2" H (schedule's 'Luminis' appears to be an error — RFI-13); SG-3K-EHS-M = Eagle Mountain Flag &amp; Flagpole 'StarGazer' dark-sky flagpole downlight, external-halyard stationary truck, size M for flags to 15'x25'.</t>
  </si>
  <si>
    <t xml:space="preserve">Quantities</t>
  </si>
  <si>
    <t xml:space="preserve">Qty cells on the Materials tab are live formulas linked to the takeoff tabs (green), including conduit-feet roll-ups (duct bank LF x conduits per bank). Changing a takeoff quantity updates the procurement list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</si>
</sst>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\$#,##0.00"/>
    <numFmt numFmtId="168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  <c r="C8" s="6" t="s">
        <v>6</v>
      </c>
      <c r="D8" s="6" t="s">
        <v>7</v>
      </c>
      <c r="E8" s="6" t="s">
        <v>8</v>
      </c>
    </row>
    <row r="9" customFormat="false" ht="22.35" hidden="false" customHeight="false" outlineLevel="0" collapsed="false">
      <c r="B9" s="7" t="s">
        <v>9</v>
      </c>
      <c r="C9" s="8" t="s">
        <v>10</v>
      </c>
      <c r="D9" s="9" t="n">
        <f aca="false">'Site Electrical'!J42</f>
        <v>0</v>
      </c>
      <c r="E9" s="8" t="s">
        <v>11</v>
      </c>
    </row>
    <row r="10" customFormat="false" ht="22.35" hidden="false" customHeight="false" outlineLevel="0" collapsed="false">
      <c r="B10" s="7" t="s">
        <v>12</v>
      </c>
      <c r="C10" s="8" t="s">
        <v>13</v>
      </c>
      <c r="D10" s="9" t="n">
        <f aca="false">'Telecom OSP'!J40</f>
        <v>0</v>
      </c>
      <c r="E10" s="8" t="s">
        <v>14</v>
      </c>
    </row>
    <row r="11" customFormat="false" ht="15" hidden="false" customHeight="false" outlineLevel="0" collapsed="false">
      <c r="B11" s="7" t="s">
        <v>15</v>
      </c>
      <c r="C11" s="8" t="s">
        <v>16</v>
      </c>
      <c r="D11" s="9" t="n">
        <f aca="false">Security!J37</f>
        <v>0</v>
      </c>
      <c r="E11" s="8" t="s">
        <v>17</v>
      </c>
    </row>
    <row r="12" customFormat="false" ht="15" hidden="false" customHeight="false" outlineLevel="0" collapsed="false">
      <c r="B12" s="10" t="s">
        <v>18</v>
      </c>
      <c r="C12" s="11"/>
      <c r="D12" s="12" t="n">
        <f aca="false">SUM(D9:D11)</f>
        <v>0</v>
      </c>
      <c r="E12" s="11"/>
    </row>
    <row r="14" customFormat="false" ht="15" hidden="false" customHeight="false" outlineLevel="0" collapsed="false">
      <c r="B14" s="5" t="s">
        <v>19</v>
      </c>
    </row>
    <row r="15" customFormat="false" ht="15" hidden="false" customHeight="true" outlineLevel="0" collapsed="false">
      <c r="B15" s="13" t="s">
        <v>20</v>
      </c>
      <c r="C15" s="14" t="s">
        <v>21</v>
      </c>
      <c r="D15" s="14"/>
      <c r="E15" s="14"/>
    </row>
    <row r="16" customFormat="false" ht="15" hidden="false" customHeight="true" outlineLevel="0" collapsed="false">
      <c r="B16" s="15" t="s">
        <v>22</v>
      </c>
      <c r="C16" s="14" t="s">
        <v>23</v>
      </c>
      <c r="D16" s="14"/>
      <c r="E16" s="14"/>
    </row>
    <row r="17" customFormat="false" ht="15" hidden="false" customHeight="true" outlineLevel="0" collapsed="false">
      <c r="B17" s="16" t="s">
        <v>24</v>
      </c>
      <c r="C17" s="14" t="s">
        <v>25</v>
      </c>
      <c r="D17" s="14"/>
      <c r="E17" s="14"/>
    </row>
    <row r="18" customFormat="false" ht="22.35" hidden="false" customHeight="true" outlineLevel="0" collapsed="false">
      <c r="B18" s="17" t="s">
        <v>26</v>
      </c>
      <c r="C18" s="14" t="s">
        <v>27</v>
      </c>
      <c r="D18" s="14"/>
      <c r="E18" s="14"/>
    </row>
    <row r="19" customFormat="false" ht="22.35" hidden="false" customHeight="true" outlineLevel="0" collapsed="false">
      <c r="B19" s="17" t="s">
        <v>28</v>
      </c>
      <c r="C19" s="14" t="s">
        <v>29</v>
      </c>
      <c r="D19" s="14"/>
      <c r="E19" s="14"/>
    </row>
    <row r="20" customFormat="false" ht="15" hidden="false" customHeight="true" outlineLevel="0" collapsed="false">
      <c r="B20" s="17" t="s">
        <v>30</v>
      </c>
      <c r="C20" s="14" t="s">
        <v>31</v>
      </c>
      <c r="D20" s="14"/>
      <c r="E20" s="14"/>
    </row>
    <row r="22" customFormat="false" ht="15" hidden="false" customHeight="false" outlineLevel="0" collapsed="false">
      <c r="B22" s="5" t="s">
        <v>32</v>
      </c>
    </row>
    <row r="23" customFormat="false" ht="24" hidden="false" customHeight="true" outlineLevel="0" collapsed="false">
      <c r="B23" s="14" t="s">
        <v>33</v>
      </c>
      <c r="C23" s="14"/>
      <c r="D23" s="14"/>
      <c r="E23" s="14"/>
    </row>
    <row r="24" customFormat="false" ht="24" hidden="false" customHeight="true" outlineLevel="0" collapsed="false">
      <c r="B24" s="14" t="s">
        <v>34</v>
      </c>
      <c r="C24" s="14"/>
      <c r="D24" s="14"/>
      <c r="E24" s="14"/>
    </row>
    <row r="25" customFormat="false" ht="24" hidden="false" customHeight="true" outlineLevel="0" collapsed="false">
      <c r="B25" s="14" t="s">
        <v>35</v>
      </c>
      <c r="C25" s="14"/>
      <c r="D25" s="14"/>
      <c r="E25" s="14"/>
    </row>
    <row r="26" customFormat="false" ht="24" hidden="false" customHeight="true" outlineLevel="0" collapsed="false">
      <c r="B26" s="14" t="s">
        <v>36</v>
      </c>
      <c r="C26" s="14"/>
      <c r="D26" s="14"/>
      <c r="E26" s="14"/>
    </row>
    <row r="27" customFormat="false" ht="24" hidden="false" customHeight="true" outlineLevel="0" collapsed="false">
      <c r="B27" s="14" t="s">
        <v>37</v>
      </c>
      <c r="C27" s="14"/>
      <c r="D27" s="14"/>
      <c r="E27" s="14"/>
    </row>
    <row r="28" customFormat="false" ht="24" hidden="false" customHeight="true" outlineLevel="0" collapsed="false">
      <c r="B28" s="14" t="s">
        <v>38</v>
      </c>
      <c r="C28" s="14"/>
      <c r="D28" s="14"/>
      <c r="E28" s="14"/>
    </row>
    <row r="29" customFormat="false" ht="24" hidden="false" customHeight="true" outlineLevel="0" collapsed="false">
      <c r="B29" s="14" t="s">
        <v>39</v>
      </c>
      <c r="C29" s="14"/>
      <c r="D29" s="14"/>
      <c r="E29" s="14"/>
    </row>
    <row r="30" customFormat="false" ht="24" hidden="false" customHeight="true" outlineLevel="0" collapsed="false">
      <c r="B30" s="14" t="s">
        <v>40</v>
      </c>
      <c r="C30" s="14"/>
      <c r="D30" s="14"/>
      <c r="E30" s="14"/>
    </row>
    <row r="31" customFormat="false" ht="24" hidden="false" customHeight="true" outlineLevel="0" collapsed="false">
      <c r="B31" s="14" t="s">
        <v>41</v>
      </c>
      <c r="C31" s="14"/>
      <c r="D31" s="14"/>
      <c r="E31" s="14"/>
    </row>
  </sheetData>
  <mergeCells count="15">
    <mergeCell ref="C15:E15"/>
    <mergeCell ref="C16:E16"/>
    <mergeCell ref="C17:E17"/>
    <mergeCell ref="C18:E18"/>
    <mergeCell ref="C19:E19"/>
    <mergeCell ref="C20:E20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8" t="s">
        <v>42</v>
      </c>
    </row>
    <row r="2" customFormat="false" ht="15" hidden="false" customHeight="false" outlineLevel="0" collapsed="false">
      <c r="A2" s="3" t="s">
        <v>43</v>
      </c>
    </row>
    <row r="4" customFormat="false" ht="26.85" hidden="false" customHeight="fals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7</v>
      </c>
      <c r="K4" s="6" t="s">
        <v>53</v>
      </c>
    </row>
    <row r="5" customFormat="false" ht="15" hidden="false" customHeight="false" outlineLevel="0" collapsed="false">
      <c r="A5" s="19" t="s">
        <v>54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customFormat="false" ht="23.85" hidden="false" customHeight="false" outlineLevel="0" collapsed="false">
      <c r="A6" s="21" t="s">
        <v>55</v>
      </c>
      <c r="B6" s="7" t="s">
        <v>56</v>
      </c>
      <c r="C6" s="7" t="s">
        <v>57</v>
      </c>
      <c r="D6" s="7" t="s">
        <v>58</v>
      </c>
      <c r="E6" s="21" t="s">
        <v>59</v>
      </c>
      <c r="F6" s="21" t="s">
        <v>60</v>
      </c>
      <c r="G6" s="22" t="n">
        <v>50</v>
      </c>
      <c r="H6" s="21" t="s">
        <v>61</v>
      </c>
      <c r="I6" s="23"/>
      <c r="J6" s="24" t="str">
        <f aca="false">IF(I6="","",G6*I6)</f>
        <v/>
      </c>
      <c r="K6" s="8" t="s">
        <v>62</v>
      </c>
    </row>
    <row r="7" customFormat="false" ht="23.85" hidden="false" customHeight="false" outlineLevel="0" collapsed="false">
      <c r="A7" s="21" t="s">
        <v>63</v>
      </c>
      <c r="B7" s="7" t="s">
        <v>64</v>
      </c>
      <c r="C7" s="7" t="s">
        <v>65</v>
      </c>
      <c r="D7" s="7" t="s">
        <v>66</v>
      </c>
      <c r="E7" s="21" t="s">
        <v>67</v>
      </c>
      <c r="F7" s="21" t="s">
        <v>68</v>
      </c>
      <c r="G7" s="25" t="n">
        <v>1</v>
      </c>
      <c r="H7" s="21" t="s">
        <v>69</v>
      </c>
      <c r="I7" s="23"/>
      <c r="J7" s="24" t="str">
        <f aca="false">IF(I7="","",G7*I7)</f>
        <v/>
      </c>
      <c r="K7" s="8" t="s">
        <v>70</v>
      </c>
    </row>
    <row r="8" customFormat="false" ht="23.85" hidden="false" customHeight="false" outlineLevel="0" collapsed="false">
      <c r="A8" s="21" t="s">
        <v>71</v>
      </c>
      <c r="B8" s="26" t="s">
        <v>72</v>
      </c>
      <c r="C8" s="7" t="s">
        <v>73</v>
      </c>
      <c r="D8" s="7" t="s">
        <v>74</v>
      </c>
      <c r="E8" s="21" t="s">
        <v>75</v>
      </c>
      <c r="F8" s="21" t="s">
        <v>76</v>
      </c>
      <c r="G8" s="25" t="n">
        <v>1</v>
      </c>
      <c r="H8" s="21" t="s">
        <v>77</v>
      </c>
      <c r="I8" s="23"/>
      <c r="J8" s="24" t="str">
        <f aca="false">IF(I8="","",G8*I8)</f>
        <v/>
      </c>
      <c r="K8" s="27" t="s">
        <v>78</v>
      </c>
    </row>
    <row r="9" customFormat="false" ht="23.85" hidden="false" customHeight="false" outlineLevel="0" collapsed="false">
      <c r="A9" s="21" t="s">
        <v>79</v>
      </c>
      <c r="B9" s="26" t="s">
        <v>80</v>
      </c>
      <c r="C9" s="7" t="s">
        <v>81</v>
      </c>
      <c r="D9" s="7" t="s">
        <v>82</v>
      </c>
      <c r="E9" s="21" t="s">
        <v>83</v>
      </c>
      <c r="F9" s="21" t="s">
        <v>68</v>
      </c>
      <c r="G9" s="25" t="n">
        <v>150</v>
      </c>
      <c r="H9" s="21" t="s">
        <v>61</v>
      </c>
      <c r="I9" s="23"/>
      <c r="J9" s="24" t="str">
        <f aca="false">IF(I9="","",G9*I9)</f>
        <v/>
      </c>
      <c r="K9" s="27" t="s">
        <v>84</v>
      </c>
    </row>
    <row r="10" customFormat="false" ht="23.85" hidden="false" customHeight="false" outlineLevel="0" collapsed="false">
      <c r="A10" s="21" t="s">
        <v>85</v>
      </c>
      <c r="B10" s="7" t="s">
        <v>86</v>
      </c>
      <c r="C10" s="7" t="s">
        <v>87</v>
      </c>
      <c r="D10" s="7" t="s">
        <v>88</v>
      </c>
      <c r="E10" s="21" t="s">
        <v>89</v>
      </c>
      <c r="F10" s="21" t="s">
        <v>76</v>
      </c>
      <c r="G10" s="25" t="n">
        <v>2</v>
      </c>
      <c r="H10" s="21" t="s">
        <v>69</v>
      </c>
      <c r="I10" s="23"/>
      <c r="J10" s="24" t="str">
        <f aca="false">IF(I10="","",G10*I10)</f>
        <v/>
      </c>
      <c r="K10" s="8" t="s">
        <v>90</v>
      </c>
    </row>
    <row r="11" customFormat="false" ht="23.85" hidden="false" customHeight="false" outlineLevel="0" collapsed="false">
      <c r="A11" s="21" t="s">
        <v>91</v>
      </c>
      <c r="B11" s="7" t="s">
        <v>92</v>
      </c>
      <c r="C11" s="7" t="s">
        <v>57</v>
      </c>
      <c r="D11" s="7" t="s">
        <v>93</v>
      </c>
      <c r="E11" s="21" t="s">
        <v>94</v>
      </c>
      <c r="F11" s="21" t="s">
        <v>60</v>
      </c>
      <c r="G11" s="22" t="n">
        <v>200</v>
      </c>
      <c r="H11" s="21" t="s">
        <v>61</v>
      </c>
      <c r="I11" s="23"/>
      <c r="J11" s="24" t="str">
        <f aca="false">IF(I11="","",G11*I11)</f>
        <v/>
      </c>
      <c r="K11" s="8" t="s">
        <v>95</v>
      </c>
    </row>
    <row r="12" customFormat="false" ht="23.85" hidden="false" customHeight="false" outlineLevel="0" collapsed="false">
      <c r="A12" s="21" t="s">
        <v>96</v>
      </c>
      <c r="B12" s="26" t="s">
        <v>97</v>
      </c>
      <c r="C12" s="7" t="s">
        <v>57</v>
      </c>
      <c r="D12" s="7" t="s">
        <v>98</v>
      </c>
      <c r="E12" s="21" t="s">
        <v>99</v>
      </c>
      <c r="F12" s="21" t="s">
        <v>60</v>
      </c>
      <c r="G12" s="22" t="n">
        <v>400</v>
      </c>
      <c r="H12" s="21" t="s">
        <v>61</v>
      </c>
      <c r="I12" s="23"/>
      <c r="J12" s="24" t="str">
        <f aca="false">IF(I12="","",G12*I12)</f>
        <v/>
      </c>
      <c r="K12" s="27" t="s">
        <v>100</v>
      </c>
    </row>
    <row r="13" customFormat="false" ht="15" hidden="false" customHeight="false" outlineLevel="0" collapsed="false">
      <c r="A13" s="21" t="s">
        <v>101</v>
      </c>
      <c r="B13" s="26" t="s">
        <v>102</v>
      </c>
      <c r="C13" s="7" t="s">
        <v>65</v>
      </c>
      <c r="D13" s="7" t="s">
        <v>103</v>
      </c>
      <c r="E13" s="21" t="s">
        <v>104</v>
      </c>
      <c r="F13" s="21" t="s">
        <v>76</v>
      </c>
      <c r="G13" s="25" t="n">
        <v>1</v>
      </c>
      <c r="H13" s="21" t="s">
        <v>69</v>
      </c>
      <c r="I13" s="23"/>
      <c r="J13" s="24" t="str">
        <f aca="false">IF(I13="","",G13*I13)</f>
        <v/>
      </c>
      <c r="K13" s="27" t="s">
        <v>105</v>
      </c>
    </row>
    <row r="14" customFormat="false" ht="22.35" hidden="false" customHeight="false" outlineLevel="0" collapsed="false">
      <c r="A14" s="21" t="s">
        <v>106</v>
      </c>
      <c r="B14" s="26" t="s">
        <v>107</v>
      </c>
      <c r="C14" s="7" t="s">
        <v>65</v>
      </c>
      <c r="D14" s="7" t="s">
        <v>108</v>
      </c>
      <c r="E14" s="21" t="s">
        <v>99</v>
      </c>
      <c r="F14" s="21" t="s">
        <v>76</v>
      </c>
      <c r="G14" s="25" t="n">
        <v>1</v>
      </c>
      <c r="H14" s="21" t="s">
        <v>69</v>
      </c>
      <c r="I14" s="23"/>
      <c r="J14" s="24" t="str">
        <f aca="false">IF(I14="","",G14*I14)</f>
        <v/>
      </c>
      <c r="K14" s="27" t="s">
        <v>109</v>
      </c>
    </row>
    <row r="15" customFormat="false" ht="35.05" hidden="false" customHeight="false" outlineLevel="0" collapsed="false">
      <c r="A15" s="21" t="s">
        <v>110</v>
      </c>
      <c r="B15" s="7" t="s">
        <v>111</v>
      </c>
      <c r="C15" s="7" t="s">
        <v>65</v>
      </c>
      <c r="D15" s="7" t="s">
        <v>112</v>
      </c>
      <c r="E15" s="21" t="s">
        <v>113</v>
      </c>
      <c r="F15" s="21" t="s">
        <v>76</v>
      </c>
      <c r="G15" s="25" t="n">
        <v>1</v>
      </c>
      <c r="H15" s="21" t="s">
        <v>77</v>
      </c>
      <c r="I15" s="23"/>
      <c r="J15" s="24" t="str">
        <f aca="false">IF(I15="","",G15*I15)</f>
        <v/>
      </c>
      <c r="K15" s="8" t="s">
        <v>114</v>
      </c>
    </row>
    <row r="16" customFormat="false" ht="15" hidden="false" customHeight="false" outlineLevel="0" collapsed="false">
      <c r="A16" s="28"/>
      <c r="B16" s="29" t="s">
        <v>115</v>
      </c>
      <c r="C16" s="28"/>
      <c r="D16" s="28"/>
      <c r="E16" s="28"/>
      <c r="F16" s="28"/>
      <c r="G16" s="28"/>
      <c r="H16" s="28"/>
      <c r="I16" s="28"/>
      <c r="J16" s="30" t="n">
        <f aca="false">SUM(J6:J15)</f>
        <v>0</v>
      </c>
      <c r="K16" s="28"/>
    </row>
    <row r="17" customFormat="false" ht="15" hidden="false" customHeight="false" outlineLevel="0" collapsed="false">
      <c r="A17" s="19" t="s">
        <v>116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customFormat="false" ht="23.85" hidden="false" customHeight="false" outlineLevel="0" collapsed="false">
      <c r="A18" s="21" t="s">
        <v>117</v>
      </c>
      <c r="B18" s="7" t="s">
        <v>118</v>
      </c>
      <c r="C18" s="7" t="s">
        <v>119</v>
      </c>
      <c r="D18" s="7" t="s">
        <v>120</v>
      </c>
      <c r="E18" s="21" t="s">
        <v>121</v>
      </c>
      <c r="F18" s="21" t="s">
        <v>68</v>
      </c>
      <c r="G18" s="25" t="n">
        <v>1</v>
      </c>
      <c r="H18" s="21" t="s">
        <v>69</v>
      </c>
      <c r="I18" s="23"/>
      <c r="J18" s="24" t="str">
        <f aca="false">IF(I18="","",G18*I18)</f>
        <v/>
      </c>
      <c r="K18" s="8" t="s">
        <v>122</v>
      </c>
    </row>
    <row r="19" customFormat="false" ht="23.85" hidden="false" customHeight="false" outlineLevel="0" collapsed="false">
      <c r="A19" s="21" t="s">
        <v>123</v>
      </c>
      <c r="B19" s="7" t="s">
        <v>124</v>
      </c>
      <c r="C19" s="7" t="s">
        <v>125</v>
      </c>
      <c r="D19" s="7" t="s">
        <v>126</v>
      </c>
      <c r="E19" s="21" t="s">
        <v>121</v>
      </c>
      <c r="F19" s="21" t="s">
        <v>76</v>
      </c>
      <c r="G19" s="25" t="n">
        <v>1</v>
      </c>
      <c r="H19" s="21" t="s">
        <v>69</v>
      </c>
      <c r="I19" s="23"/>
      <c r="J19" s="24" t="str">
        <f aca="false">IF(I19="","",G19*I19)</f>
        <v/>
      </c>
      <c r="K19" s="8" t="s">
        <v>127</v>
      </c>
    </row>
    <row r="20" customFormat="false" ht="23.85" hidden="false" customHeight="false" outlineLevel="0" collapsed="false">
      <c r="A20" s="21" t="s">
        <v>128</v>
      </c>
      <c r="B20" s="7" t="s">
        <v>129</v>
      </c>
      <c r="C20" s="7" t="s">
        <v>130</v>
      </c>
      <c r="D20" s="7" t="s">
        <v>131</v>
      </c>
      <c r="E20" s="21" t="s">
        <v>121</v>
      </c>
      <c r="F20" s="21" t="s">
        <v>76</v>
      </c>
      <c r="G20" s="25" t="n">
        <v>1</v>
      </c>
      <c r="H20" s="21" t="s">
        <v>69</v>
      </c>
      <c r="I20" s="23"/>
      <c r="J20" s="24" t="str">
        <f aca="false">IF(I20="","",G20*I20)</f>
        <v/>
      </c>
      <c r="K20" s="8" t="s">
        <v>132</v>
      </c>
    </row>
    <row r="21" customFormat="false" ht="23.85" hidden="false" customHeight="false" outlineLevel="0" collapsed="false">
      <c r="A21" s="21" t="s">
        <v>133</v>
      </c>
      <c r="B21" s="26" t="s">
        <v>134</v>
      </c>
      <c r="C21" s="7" t="s">
        <v>135</v>
      </c>
      <c r="D21" s="7" t="s">
        <v>136</v>
      </c>
      <c r="E21" s="21" t="s">
        <v>137</v>
      </c>
      <c r="F21" s="21" t="s">
        <v>60</v>
      </c>
      <c r="G21" s="22" t="n">
        <v>30</v>
      </c>
      <c r="H21" s="21" t="s">
        <v>61</v>
      </c>
      <c r="I21" s="23"/>
      <c r="J21" s="24" t="str">
        <f aca="false">IF(I21="","",G21*I21)</f>
        <v/>
      </c>
      <c r="K21" s="27" t="s">
        <v>138</v>
      </c>
    </row>
    <row r="22" customFormat="false" ht="23.85" hidden="false" customHeight="false" outlineLevel="0" collapsed="false">
      <c r="A22" s="21" t="s">
        <v>139</v>
      </c>
      <c r="B22" s="26" t="s">
        <v>140</v>
      </c>
      <c r="C22" s="7" t="s">
        <v>135</v>
      </c>
      <c r="D22" s="7" t="s">
        <v>141</v>
      </c>
      <c r="E22" s="21" t="s">
        <v>142</v>
      </c>
      <c r="F22" s="21" t="s">
        <v>60</v>
      </c>
      <c r="G22" s="22" t="n">
        <v>50</v>
      </c>
      <c r="H22" s="21" t="s">
        <v>61</v>
      </c>
      <c r="I22" s="23"/>
      <c r="J22" s="24" t="str">
        <f aca="false">IF(I22="","",G22*I22)</f>
        <v/>
      </c>
      <c r="K22" s="27" t="s">
        <v>143</v>
      </c>
    </row>
    <row r="23" customFormat="false" ht="15" hidden="false" customHeight="false" outlineLevel="0" collapsed="false">
      <c r="A23" s="28"/>
      <c r="B23" s="29" t="s">
        <v>144</v>
      </c>
      <c r="C23" s="28"/>
      <c r="D23" s="28"/>
      <c r="E23" s="28"/>
      <c r="F23" s="28"/>
      <c r="G23" s="28"/>
      <c r="H23" s="28"/>
      <c r="I23" s="28"/>
      <c r="J23" s="30" t="n">
        <f aca="false">SUM(J18:J22)</f>
        <v>0</v>
      </c>
      <c r="K23" s="28"/>
    </row>
    <row r="24" customFormat="false" ht="15" hidden="false" customHeight="false" outlineLevel="0" collapsed="false">
      <c r="A24" s="19" t="s">
        <v>145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customFormat="false" ht="23.85" hidden="false" customHeight="false" outlineLevel="0" collapsed="false">
      <c r="A25" s="21" t="s">
        <v>146</v>
      </c>
      <c r="B25" s="7" t="s">
        <v>147</v>
      </c>
      <c r="C25" s="7" t="s">
        <v>148</v>
      </c>
      <c r="D25" s="7" t="s">
        <v>149</v>
      </c>
      <c r="E25" s="21" t="s">
        <v>150</v>
      </c>
      <c r="F25" s="21" t="s">
        <v>76</v>
      </c>
      <c r="G25" s="25" t="n">
        <v>9</v>
      </c>
      <c r="H25" s="21" t="s">
        <v>69</v>
      </c>
      <c r="I25" s="23"/>
      <c r="J25" s="24" t="str">
        <f aca="false">IF(I25="","",G25*I25)</f>
        <v/>
      </c>
      <c r="K25" s="8" t="s">
        <v>151</v>
      </c>
    </row>
    <row r="26" customFormat="false" ht="23.85" hidden="false" customHeight="false" outlineLevel="0" collapsed="false">
      <c r="A26" s="21" t="s">
        <v>152</v>
      </c>
      <c r="B26" s="26" t="s">
        <v>153</v>
      </c>
      <c r="C26" s="7" t="s">
        <v>148</v>
      </c>
      <c r="D26" s="7" t="s">
        <v>154</v>
      </c>
      <c r="E26" s="21" t="s">
        <v>150</v>
      </c>
      <c r="F26" s="21" t="s">
        <v>76</v>
      </c>
      <c r="G26" s="25" t="n">
        <v>7</v>
      </c>
      <c r="H26" s="21" t="s">
        <v>69</v>
      </c>
      <c r="I26" s="23"/>
      <c r="J26" s="24" t="str">
        <f aca="false">IF(I26="","",G26*I26)</f>
        <v/>
      </c>
      <c r="K26" s="27" t="s">
        <v>155</v>
      </c>
    </row>
    <row r="27" customFormat="false" ht="23.85" hidden="false" customHeight="false" outlineLevel="0" collapsed="false">
      <c r="A27" s="21" t="s">
        <v>156</v>
      </c>
      <c r="B27" s="7" t="s">
        <v>157</v>
      </c>
      <c r="C27" s="7" t="s">
        <v>148</v>
      </c>
      <c r="D27" s="7" t="s">
        <v>158</v>
      </c>
      <c r="E27" s="21" t="s">
        <v>150</v>
      </c>
      <c r="F27" s="21" t="s">
        <v>76</v>
      </c>
      <c r="G27" s="25" t="n">
        <v>2</v>
      </c>
      <c r="H27" s="21" t="s">
        <v>69</v>
      </c>
      <c r="I27" s="23"/>
      <c r="J27" s="24" t="str">
        <f aca="false">IF(I27="","",G27*I27)</f>
        <v/>
      </c>
      <c r="K27" s="8" t="s">
        <v>159</v>
      </c>
    </row>
    <row r="28" customFormat="false" ht="23.85" hidden="false" customHeight="false" outlineLevel="0" collapsed="false">
      <c r="A28" s="21" t="s">
        <v>160</v>
      </c>
      <c r="B28" s="7" t="s">
        <v>161</v>
      </c>
      <c r="C28" s="7" t="s">
        <v>162</v>
      </c>
      <c r="D28" s="7" t="s">
        <v>163</v>
      </c>
      <c r="E28" s="21" t="s">
        <v>164</v>
      </c>
      <c r="F28" s="21" t="s">
        <v>76</v>
      </c>
      <c r="G28" s="25" t="n">
        <v>18</v>
      </c>
      <c r="H28" s="21" t="s">
        <v>69</v>
      </c>
      <c r="I28" s="23"/>
      <c r="J28" s="24" t="str">
        <f aca="false">IF(I28="","",G28*I28)</f>
        <v/>
      </c>
      <c r="K28" s="8" t="s">
        <v>165</v>
      </c>
    </row>
    <row r="29" customFormat="false" ht="23.85" hidden="false" customHeight="false" outlineLevel="0" collapsed="false">
      <c r="A29" s="21" t="s">
        <v>166</v>
      </c>
      <c r="B29" s="26" t="s">
        <v>167</v>
      </c>
      <c r="C29" s="7" t="s">
        <v>168</v>
      </c>
      <c r="D29" s="7" t="s">
        <v>169</v>
      </c>
      <c r="E29" s="21" t="s">
        <v>170</v>
      </c>
      <c r="F29" s="21" t="s">
        <v>76</v>
      </c>
      <c r="G29" s="25" t="n">
        <v>18</v>
      </c>
      <c r="H29" s="21" t="s">
        <v>69</v>
      </c>
      <c r="I29" s="23"/>
      <c r="J29" s="24" t="str">
        <f aca="false">IF(I29="","",G29*I29)</f>
        <v/>
      </c>
      <c r="K29" s="27" t="s">
        <v>171</v>
      </c>
    </row>
    <row r="30" customFormat="false" ht="35.05" hidden="false" customHeight="false" outlineLevel="0" collapsed="false">
      <c r="A30" s="21" t="s">
        <v>172</v>
      </c>
      <c r="B30" s="26" t="s">
        <v>173</v>
      </c>
      <c r="C30" s="7" t="s">
        <v>174</v>
      </c>
      <c r="D30" s="7" t="s">
        <v>175</v>
      </c>
      <c r="E30" s="21" t="s">
        <v>150</v>
      </c>
      <c r="F30" s="21" t="s">
        <v>76</v>
      </c>
      <c r="G30" s="25" t="n">
        <v>6</v>
      </c>
      <c r="H30" s="21" t="s">
        <v>69</v>
      </c>
      <c r="I30" s="23"/>
      <c r="J30" s="24" t="str">
        <f aca="false">IF(I30="","",G30*I30)</f>
        <v/>
      </c>
      <c r="K30" s="27" t="s">
        <v>176</v>
      </c>
    </row>
    <row r="31" customFormat="false" ht="23.85" hidden="false" customHeight="false" outlineLevel="0" collapsed="false">
      <c r="A31" s="21" t="s">
        <v>177</v>
      </c>
      <c r="B31" s="7" t="s">
        <v>178</v>
      </c>
      <c r="C31" s="7" t="s">
        <v>179</v>
      </c>
      <c r="D31" s="7" t="s">
        <v>180</v>
      </c>
      <c r="E31" s="21" t="s">
        <v>181</v>
      </c>
      <c r="F31" s="21" t="s">
        <v>76</v>
      </c>
      <c r="G31" s="25" t="n">
        <v>6</v>
      </c>
      <c r="H31" s="21" t="s">
        <v>69</v>
      </c>
      <c r="I31" s="23"/>
      <c r="J31" s="24" t="str">
        <f aca="false">IF(I31="","",G31*I31)</f>
        <v/>
      </c>
      <c r="K31" s="8" t="s">
        <v>182</v>
      </c>
    </row>
    <row r="32" customFormat="false" ht="35.05" hidden="false" customHeight="false" outlineLevel="0" collapsed="false">
      <c r="A32" s="21" t="s">
        <v>183</v>
      </c>
      <c r="B32" s="26" t="s">
        <v>184</v>
      </c>
      <c r="C32" s="7" t="s">
        <v>185</v>
      </c>
      <c r="D32" s="7" t="s">
        <v>186</v>
      </c>
      <c r="E32" s="21" t="s">
        <v>150</v>
      </c>
      <c r="F32" s="21" t="s">
        <v>76</v>
      </c>
      <c r="G32" s="25" t="n">
        <v>3</v>
      </c>
      <c r="H32" s="21" t="s">
        <v>69</v>
      </c>
      <c r="I32" s="23"/>
      <c r="J32" s="24" t="str">
        <f aca="false">IF(I32="","",G32*I32)</f>
        <v/>
      </c>
      <c r="K32" s="27" t="s">
        <v>187</v>
      </c>
    </row>
    <row r="33" customFormat="false" ht="23.85" hidden="false" customHeight="false" outlineLevel="0" collapsed="false">
      <c r="A33" s="21" t="s">
        <v>188</v>
      </c>
      <c r="B33" s="7" t="s">
        <v>189</v>
      </c>
      <c r="C33" s="7" t="s">
        <v>190</v>
      </c>
      <c r="D33" s="7" t="s">
        <v>191</v>
      </c>
      <c r="E33" s="21" t="s">
        <v>192</v>
      </c>
      <c r="F33" s="21" t="s">
        <v>76</v>
      </c>
      <c r="G33" s="25" t="n">
        <v>1</v>
      </c>
      <c r="H33" s="21" t="s">
        <v>69</v>
      </c>
      <c r="I33" s="23"/>
      <c r="J33" s="24" t="str">
        <f aca="false">IF(I33="","",G33*I33)</f>
        <v/>
      </c>
      <c r="K33" s="8" t="s">
        <v>193</v>
      </c>
    </row>
    <row r="34" customFormat="false" ht="23.85" hidden="false" customHeight="false" outlineLevel="0" collapsed="false">
      <c r="A34" s="21" t="s">
        <v>194</v>
      </c>
      <c r="B34" s="26" t="s">
        <v>195</v>
      </c>
      <c r="C34" s="7" t="s">
        <v>196</v>
      </c>
      <c r="D34" s="7" t="s">
        <v>197</v>
      </c>
      <c r="E34" s="21" t="s">
        <v>198</v>
      </c>
      <c r="F34" s="21" t="s">
        <v>199</v>
      </c>
      <c r="G34" s="22" t="n">
        <v>2400</v>
      </c>
      <c r="H34" s="21" t="s">
        <v>61</v>
      </c>
      <c r="I34" s="23"/>
      <c r="J34" s="24" t="str">
        <f aca="false">IF(I34="","",G34*I34)</f>
        <v/>
      </c>
      <c r="K34" s="27" t="s">
        <v>200</v>
      </c>
    </row>
    <row r="35" customFormat="false" ht="23.85" hidden="false" customHeight="false" outlineLevel="0" collapsed="false">
      <c r="A35" s="21" t="s">
        <v>201</v>
      </c>
      <c r="B35" s="26" t="s">
        <v>202</v>
      </c>
      <c r="C35" s="7" t="s">
        <v>65</v>
      </c>
      <c r="D35" s="7" t="s">
        <v>203</v>
      </c>
      <c r="E35" s="21" t="s">
        <v>204</v>
      </c>
      <c r="F35" s="21" t="s">
        <v>199</v>
      </c>
      <c r="G35" s="22" t="n">
        <v>1</v>
      </c>
      <c r="H35" s="21" t="s">
        <v>77</v>
      </c>
      <c r="I35" s="23"/>
      <c r="J35" s="24" t="str">
        <f aca="false">IF(I35="","",G35*I35)</f>
        <v/>
      </c>
      <c r="K35" s="27" t="s">
        <v>205</v>
      </c>
    </row>
    <row r="36" customFormat="false" ht="15" hidden="false" customHeight="false" outlineLevel="0" collapsed="false">
      <c r="A36" s="28"/>
      <c r="B36" s="29" t="s">
        <v>206</v>
      </c>
      <c r="C36" s="28"/>
      <c r="D36" s="28"/>
      <c r="E36" s="28"/>
      <c r="F36" s="28"/>
      <c r="G36" s="28"/>
      <c r="H36" s="28"/>
      <c r="I36" s="28"/>
      <c r="J36" s="30" t="n">
        <f aca="false">SUM(J25:J35)</f>
        <v>0</v>
      </c>
      <c r="K36" s="28"/>
    </row>
    <row r="37" customFormat="false" ht="15" hidden="false" customHeight="false" outlineLevel="0" collapsed="false">
      <c r="A37" s="19" t="s">
        <v>207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customFormat="false" ht="32.8" hidden="false" customHeight="false" outlineLevel="0" collapsed="false">
      <c r="A38" s="21" t="s">
        <v>208</v>
      </c>
      <c r="B38" s="26" t="s">
        <v>209</v>
      </c>
      <c r="C38" s="7" t="s">
        <v>210</v>
      </c>
      <c r="D38" s="7" t="s">
        <v>211</v>
      </c>
      <c r="E38" s="21" t="s">
        <v>212</v>
      </c>
      <c r="F38" s="21" t="s">
        <v>76</v>
      </c>
      <c r="G38" s="25" t="n">
        <v>3</v>
      </c>
      <c r="H38" s="21" t="s">
        <v>69</v>
      </c>
      <c r="I38" s="23"/>
      <c r="J38" s="24" t="str">
        <f aca="false">IF(I38="","",G38*I38)</f>
        <v/>
      </c>
      <c r="K38" s="27" t="s">
        <v>213</v>
      </c>
    </row>
    <row r="39" customFormat="false" ht="23.85" hidden="false" customHeight="false" outlineLevel="0" collapsed="false">
      <c r="A39" s="21" t="s">
        <v>214</v>
      </c>
      <c r="B39" s="26" t="s">
        <v>215</v>
      </c>
      <c r="C39" s="7" t="s">
        <v>216</v>
      </c>
      <c r="D39" s="7" t="s">
        <v>217</v>
      </c>
      <c r="E39" s="21" t="s">
        <v>212</v>
      </c>
      <c r="F39" s="21" t="s">
        <v>199</v>
      </c>
      <c r="G39" s="22" t="n">
        <v>700</v>
      </c>
      <c r="H39" s="21" t="s">
        <v>61</v>
      </c>
      <c r="I39" s="23"/>
      <c r="J39" s="24" t="str">
        <f aca="false">IF(I39="","",G39*I39)</f>
        <v/>
      </c>
      <c r="K39" s="27" t="s">
        <v>218</v>
      </c>
    </row>
    <row r="40" customFormat="false" ht="15" hidden="false" customHeight="false" outlineLevel="0" collapsed="false">
      <c r="A40" s="28"/>
      <c r="B40" s="29" t="s">
        <v>219</v>
      </c>
      <c r="C40" s="28"/>
      <c r="D40" s="28"/>
      <c r="E40" s="28"/>
      <c r="F40" s="28"/>
      <c r="G40" s="28"/>
      <c r="H40" s="28"/>
      <c r="I40" s="28"/>
      <c r="J40" s="30" t="n">
        <f aca="false">SUM(J38:J39)</f>
        <v>0</v>
      </c>
      <c r="K40" s="28"/>
    </row>
    <row r="42" customFormat="false" ht="15" hidden="false" customHeight="false" outlineLevel="0" collapsed="false">
      <c r="A42" s="11"/>
      <c r="B42" s="10" t="s">
        <v>220</v>
      </c>
      <c r="C42" s="11"/>
      <c r="D42" s="11"/>
      <c r="E42" s="11"/>
      <c r="F42" s="11"/>
      <c r="G42" s="11"/>
      <c r="H42" s="11"/>
      <c r="I42" s="11"/>
      <c r="J42" s="12" t="n">
        <f aca="false">J16+J23+J36+J40</f>
        <v>0</v>
      </c>
      <c r="K4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8" t="s">
        <v>221</v>
      </c>
    </row>
    <row r="2" customFormat="false" ht="15" hidden="false" customHeight="false" outlineLevel="0" collapsed="false">
      <c r="A2" s="3" t="s">
        <v>43</v>
      </c>
    </row>
    <row r="4" customFormat="false" ht="26.85" hidden="false" customHeight="fals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7</v>
      </c>
      <c r="K4" s="6" t="s">
        <v>53</v>
      </c>
    </row>
    <row r="5" customFormat="false" ht="15" hidden="false" customHeight="false" outlineLevel="0" collapsed="false">
      <c r="A5" s="19" t="s">
        <v>222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customFormat="false" ht="23.85" hidden="false" customHeight="false" outlineLevel="0" collapsed="false">
      <c r="A6" s="21" t="s">
        <v>55</v>
      </c>
      <c r="B6" s="7" t="s">
        <v>223</v>
      </c>
      <c r="C6" s="7" t="s">
        <v>224</v>
      </c>
      <c r="D6" s="7" t="s">
        <v>225</v>
      </c>
      <c r="E6" s="21" t="s">
        <v>226</v>
      </c>
      <c r="F6" s="21" t="s">
        <v>76</v>
      </c>
      <c r="G6" s="25" t="n">
        <v>4</v>
      </c>
      <c r="H6" s="21" t="s">
        <v>69</v>
      </c>
      <c r="I6" s="23"/>
      <c r="J6" s="24" t="str">
        <f aca="false">IF(I6="","",G6*I6)</f>
        <v/>
      </c>
      <c r="K6" s="8" t="s">
        <v>227</v>
      </c>
    </row>
    <row r="7" customFormat="false" ht="35.05" hidden="false" customHeight="false" outlineLevel="0" collapsed="false">
      <c r="A7" s="21" t="s">
        <v>63</v>
      </c>
      <c r="B7" s="7" t="s">
        <v>228</v>
      </c>
      <c r="C7" s="7" t="s">
        <v>229</v>
      </c>
      <c r="D7" s="7" t="s">
        <v>230</v>
      </c>
      <c r="E7" s="21" t="s">
        <v>231</v>
      </c>
      <c r="F7" s="21" t="s">
        <v>76</v>
      </c>
      <c r="G7" s="25" t="n">
        <v>5</v>
      </c>
      <c r="H7" s="21" t="s">
        <v>69</v>
      </c>
      <c r="I7" s="23"/>
      <c r="J7" s="24" t="str">
        <f aca="false">IF(I7="","",G7*I7)</f>
        <v/>
      </c>
      <c r="K7" s="8" t="s">
        <v>232</v>
      </c>
    </row>
    <row r="8" customFormat="false" ht="23.85" hidden="false" customHeight="false" outlineLevel="0" collapsed="false">
      <c r="A8" s="21" t="s">
        <v>71</v>
      </c>
      <c r="B8" s="26" t="s">
        <v>233</v>
      </c>
      <c r="C8" s="7" t="s">
        <v>234</v>
      </c>
      <c r="D8" s="7" t="s">
        <v>235</v>
      </c>
      <c r="E8" s="21" t="s">
        <v>236</v>
      </c>
      <c r="F8" s="21" t="s">
        <v>76</v>
      </c>
      <c r="G8" s="25" t="n">
        <v>1</v>
      </c>
      <c r="H8" s="21" t="s">
        <v>69</v>
      </c>
      <c r="I8" s="23"/>
      <c r="J8" s="24" t="str">
        <f aca="false">IF(I8="","",G8*I8)</f>
        <v/>
      </c>
      <c r="K8" s="27" t="s">
        <v>237</v>
      </c>
    </row>
    <row r="9" customFormat="false" ht="15" hidden="false" customHeight="false" outlineLevel="0" collapsed="false">
      <c r="A9" s="28"/>
      <c r="B9" s="29" t="s">
        <v>115</v>
      </c>
      <c r="C9" s="28"/>
      <c r="D9" s="28"/>
      <c r="E9" s="28"/>
      <c r="F9" s="28"/>
      <c r="G9" s="28"/>
      <c r="H9" s="28"/>
      <c r="I9" s="28"/>
      <c r="J9" s="30" t="n">
        <f aca="false">SUM(J6:J8)</f>
        <v>0</v>
      </c>
      <c r="K9" s="28"/>
    </row>
    <row r="10" customFormat="false" ht="15" hidden="false" customHeight="false" outlineLevel="0" collapsed="false">
      <c r="A10" s="19" t="s">
        <v>238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customFormat="false" ht="23.85" hidden="false" customHeight="false" outlineLevel="0" collapsed="false">
      <c r="A11" s="21" t="s">
        <v>117</v>
      </c>
      <c r="B11" s="7" t="s">
        <v>239</v>
      </c>
      <c r="C11" s="7" t="s">
        <v>240</v>
      </c>
      <c r="D11" s="7" t="s">
        <v>241</v>
      </c>
      <c r="E11" s="21" t="s">
        <v>242</v>
      </c>
      <c r="F11" s="21" t="s">
        <v>60</v>
      </c>
      <c r="G11" s="22" t="n">
        <v>355</v>
      </c>
      <c r="H11" s="21" t="s">
        <v>61</v>
      </c>
      <c r="I11" s="23"/>
      <c r="J11" s="24" t="str">
        <f aca="false">IF(I11="","",G11*I11)</f>
        <v/>
      </c>
      <c r="K11" s="8" t="s">
        <v>243</v>
      </c>
    </row>
    <row r="12" customFormat="false" ht="23.85" hidden="false" customHeight="false" outlineLevel="0" collapsed="false">
      <c r="A12" s="21" t="s">
        <v>123</v>
      </c>
      <c r="B12" s="7" t="s">
        <v>244</v>
      </c>
      <c r="C12" s="7" t="s">
        <v>240</v>
      </c>
      <c r="D12" s="7" t="s">
        <v>241</v>
      </c>
      <c r="E12" s="21" t="s">
        <v>245</v>
      </c>
      <c r="F12" s="21" t="s">
        <v>60</v>
      </c>
      <c r="G12" s="22" t="n">
        <v>220</v>
      </c>
      <c r="H12" s="21" t="s">
        <v>61</v>
      </c>
      <c r="I12" s="23"/>
      <c r="J12" s="24" t="str">
        <f aca="false">IF(I12="","",G12*I12)</f>
        <v/>
      </c>
      <c r="K12" s="8" t="s">
        <v>246</v>
      </c>
    </row>
    <row r="13" customFormat="false" ht="23.85" hidden="false" customHeight="false" outlineLevel="0" collapsed="false">
      <c r="A13" s="21" t="s">
        <v>128</v>
      </c>
      <c r="B13" s="7" t="s">
        <v>247</v>
      </c>
      <c r="C13" s="7" t="s">
        <v>240</v>
      </c>
      <c r="D13" s="7" t="s">
        <v>241</v>
      </c>
      <c r="E13" s="21" t="s">
        <v>248</v>
      </c>
      <c r="F13" s="21" t="s">
        <v>60</v>
      </c>
      <c r="G13" s="22" t="n">
        <v>165</v>
      </c>
      <c r="H13" s="21" t="s">
        <v>61</v>
      </c>
      <c r="I13" s="23"/>
      <c r="J13" s="24" t="str">
        <f aca="false">IF(I13="","",G13*I13)</f>
        <v/>
      </c>
      <c r="K13" s="8" t="s">
        <v>249</v>
      </c>
    </row>
    <row r="14" customFormat="false" ht="23.85" hidden="false" customHeight="false" outlineLevel="0" collapsed="false">
      <c r="A14" s="21" t="s">
        <v>133</v>
      </c>
      <c r="B14" s="7" t="s">
        <v>250</v>
      </c>
      <c r="C14" s="7" t="s">
        <v>240</v>
      </c>
      <c r="D14" s="7" t="s">
        <v>241</v>
      </c>
      <c r="E14" s="21" t="s">
        <v>251</v>
      </c>
      <c r="F14" s="21" t="s">
        <v>60</v>
      </c>
      <c r="G14" s="22" t="n">
        <v>90</v>
      </c>
      <c r="H14" s="21" t="s">
        <v>61</v>
      </c>
      <c r="I14" s="23"/>
      <c r="J14" s="24" t="str">
        <f aca="false">IF(I14="","",G14*I14)</f>
        <v/>
      </c>
      <c r="K14" s="8" t="s">
        <v>252</v>
      </c>
    </row>
    <row r="15" customFormat="false" ht="23.85" hidden="false" customHeight="false" outlineLevel="0" collapsed="false">
      <c r="A15" s="21" t="s">
        <v>139</v>
      </c>
      <c r="B15" s="7" t="s">
        <v>253</v>
      </c>
      <c r="C15" s="7" t="s">
        <v>240</v>
      </c>
      <c r="D15" s="7" t="s">
        <v>241</v>
      </c>
      <c r="E15" s="21" t="s">
        <v>245</v>
      </c>
      <c r="F15" s="21" t="s">
        <v>254</v>
      </c>
      <c r="G15" s="31" t="n">
        <v>123.1</v>
      </c>
      <c r="H15" s="21" t="s">
        <v>61</v>
      </c>
      <c r="I15" s="23"/>
      <c r="J15" s="24" t="str">
        <f aca="false">IF(I15="","",G15*I15)</f>
        <v/>
      </c>
      <c r="K15" s="8" t="s">
        <v>255</v>
      </c>
    </row>
    <row r="16" customFormat="false" ht="23.85" hidden="false" customHeight="false" outlineLevel="0" collapsed="false">
      <c r="A16" s="21" t="s">
        <v>256</v>
      </c>
      <c r="B16" s="7" t="s">
        <v>257</v>
      </c>
      <c r="C16" s="7" t="s">
        <v>240</v>
      </c>
      <c r="D16" s="7" t="s">
        <v>241</v>
      </c>
      <c r="E16" s="21" t="s">
        <v>258</v>
      </c>
      <c r="F16" s="21" t="s">
        <v>254</v>
      </c>
      <c r="G16" s="31" t="n">
        <v>13.7</v>
      </c>
      <c r="H16" s="21" t="s">
        <v>61</v>
      </c>
      <c r="I16" s="23"/>
      <c r="J16" s="24" t="str">
        <f aca="false">IF(I16="","",G16*I16)</f>
        <v/>
      </c>
      <c r="K16" s="8" t="s">
        <v>259</v>
      </c>
    </row>
    <row r="17" customFormat="false" ht="15" hidden="false" customHeight="false" outlineLevel="0" collapsed="false">
      <c r="A17" s="32" t="s">
        <v>260</v>
      </c>
      <c r="B17" s="29" t="s">
        <v>261</v>
      </c>
      <c r="C17" s="28"/>
      <c r="D17" s="28"/>
      <c r="E17" s="28"/>
      <c r="F17" s="28"/>
      <c r="G17" s="33" t="n">
        <f aca="false">SUM(G11:G16)</f>
        <v>966.8</v>
      </c>
      <c r="H17" s="34" t="s">
        <v>61</v>
      </c>
      <c r="I17" s="28"/>
      <c r="J17" s="28"/>
      <c r="K17" s="28"/>
    </row>
    <row r="18" customFormat="false" ht="23.85" hidden="false" customHeight="false" outlineLevel="0" collapsed="false">
      <c r="A18" s="21" t="s">
        <v>262</v>
      </c>
      <c r="B18" s="7" t="s">
        <v>263</v>
      </c>
      <c r="C18" s="7" t="s">
        <v>264</v>
      </c>
      <c r="D18" s="7" t="s">
        <v>241</v>
      </c>
      <c r="E18" s="21" t="s">
        <v>245</v>
      </c>
      <c r="F18" s="21" t="s">
        <v>60</v>
      </c>
      <c r="G18" s="22" t="n">
        <v>120</v>
      </c>
      <c r="H18" s="21" t="s">
        <v>61</v>
      </c>
      <c r="I18" s="23"/>
      <c r="J18" s="24" t="str">
        <f aca="false">IF(I18="","",G18*I18)</f>
        <v/>
      </c>
      <c r="K18" s="8" t="s">
        <v>246</v>
      </c>
    </row>
    <row r="19" customFormat="false" ht="23.85" hidden="false" customHeight="false" outlineLevel="0" collapsed="false">
      <c r="A19" s="21" t="s">
        <v>265</v>
      </c>
      <c r="B19" s="7" t="s">
        <v>266</v>
      </c>
      <c r="C19" s="7" t="s">
        <v>264</v>
      </c>
      <c r="D19" s="7" t="s">
        <v>241</v>
      </c>
      <c r="E19" s="21" t="s">
        <v>245</v>
      </c>
      <c r="F19" s="21" t="s">
        <v>254</v>
      </c>
      <c r="G19" s="31" t="n">
        <v>21.4</v>
      </c>
      <c r="H19" s="21" t="s">
        <v>61</v>
      </c>
      <c r="I19" s="23"/>
      <c r="J19" s="24" t="str">
        <f aca="false">IF(I19="","",G19*I19)</f>
        <v/>
      </c>
      <c r="K19" s="8" t="s">
        <v>267</v>
      </c>
    </row>
    <row r="20" customFormat="false" ht="15" hidden="false" customHeight="false" outlineLevel="0" collapsed="false">
      <c r="A20" s="32" t="s">
        <v>268</v>
      </c>
      <c r="B20" s="29" t="s">
        <v>269</v>
      </c>
      <c r="C20" s="28"/>
      <c r="D20" s="28"/>
      <c r="E20" s="28"/>
      <c r="F20" s="28"/>
      <c r="G20" s="33" t="n">
        <f aca="false">SUM(G18:G19)</f>
        <v>141.4</v>
      </c>
      <c r="H20" s="34" t="s">
        <v>61</v>
      </c>
      <c r="I20" s="28"/>
      <c r="J20" s="28"/>
      <c r="K20" s="28"/>
    </row>
    <row r="21" customFormat="false" ht="23.85" hidden="false" customHeight="false" outlineLevel="0" collapsed="false">
      <c r="A21" s="21" t="s">
        <v>270</v>
      </c>
      <c r="B21" s="26" t="s">
        <v>271</v>
      </c>
      <c r="C21" s="7" t="s">
        <v>272</v>
      </c>
      <c r="D21" s="7" t="s">
        <v>273</v>
      </c>
      <c r="E21" s="21" t="s">
        <v>245</v>
      </c>
      <c r="F21" s="21" t="s">
        <v>254</v>
      </c>
      <c r="G21" s="31" t="n">
        <v>101.5</v>
      </c>
      <c r="H21" s="21" t="s">
        <v>61</v>
      </c>
      <c r="I21" s="23"/>
      <c r="J21" s="24" t="str">
        <f aca="false">IF(I21="","",G21*I21)</f>
        <v/>
      </c>
      <c r="K21" s="27" t="s">
        <v>274</v>
      </c>
    </row>
    <row r="22" customFormat="false" ht="23.85" hidden="false" customHeight="false" outlineLevel="0" collapsed="false">
      <c r="A22" s="21" t="s">
        <v>275</v>
      </c>
      <c r="B22" s="26" t="s">
        <v>276</v>
      </c>
      <c r="C22" s="7" t="s">
        <v>272</v>
      </c>
      <c r="D22" s="7" t="s">
        <v>273</v>
      </c>
      <c r="E22" s="21" t="s">
        <v>245</v>
      </c>
      <c r="F22" s="21" t="s">
        <v>254</v>
      </c>
      <c r="G22" s="31" t="n">
        <v>197.3</v>
      </c>
      <c r="H22" s="21" t="s">
        <v>61</v>
      </c>
      <c r="I22" s="23"/>
      <c r="J22" s="24" t="str">
        <f aca="false">IF(I22="","",G22*I22)</f>
        <v/>
      </c>
      <c r="K22" s="27" t="s">
        <v>277</v>
      </c>
    </row>
    <row r="23" customFormat="false" ht="15" hidden="false" customHeight="false" outlineLevel="0" collapsed="false">
      <c r="A23" s="32" t="s">
        <v>278</v>
      </c>
      <c r="B23" s="29" t="s">
        <v>279</v>
      </c>
      <c r="C23" s="28"/>
      <c r="D23" s="28"/>
      <c r="E23" s="28"/>
      <c r="F23" s="28"/>
      <c r="G23" s="33" t="n">
        <f aca="false">SUM(G21:G22)</f>
        <v>298.8</v>
      </c>
      <c r="H23" s="34" t="s">
        <v>61</v>
      </c>
      <c r="I23" s="28"/>
      <c r="J23" s="28"/>
      <c r="K23" s="28"/>
    </row>
    <row r="24" customFormat="false" ht="15" hidden="false" customHeight="false" outlineLevel="0" collapsed="false">
      <c r="A24" s="28"/>
      <c r="B24" s="29" t="s">
        <v>280</v>
      </c>
      <c r="C24" s="28"/>
      <c r="D24" s="28"/>
      <c r="E24" s="28"/>
      <c r="F24" s="28"/>
      <c r="G24" s="28"/>
      <c r="H24" s="28"/>
      <c r="I24" s="28"/>
      <c r="J24" s="30" t="n">
        <f aca="false">SUM(J11:J23)</f>
        <v>0</v>
      </c>
      <c r="K24" s="28"/>
    </row>
    <row r="25" customFormat="false" ht="15" hidden="false" customHeight="false" outlineLevel="0" collapsed="false">
      <c r="A25" s="19" t="s">
        <v>281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customFormat="false" ht="23.85" hidden="false" customHeight="false" outlineLevel="0" collapsed="false">
      <c r="A26" s="21" t="s">
        <v>146</v>
      </c>
      <c r="B26" s="7" t="s">
        <v>282</v>
      </c>
      <c r="C26" s="7" t="s">
        <v>283</v>
      </c>
      <c r="D26" s="7" t="s">
        <v>284</v>
      </c>
      <c r="E26" s="21" t="s">
        <v>285</v>
      </c>
      <c r="F26" s="21" t="s">
        <v>286</v>
      </c>
      <c r="G26" s="25" t="n">
        <f aca="false">SUM(G11:G16)+SUM(G18:G19)+SUM(G21:G22)</f>
        <v>1407</v>
      </c>
      <c r="H26" s="21" t="s">
        <v>61</v>
      </c>
      <c r="I26" s="23"/>
      <c r="J26" s="35" t="str">
        <f aca="false">IF(I26="","",G26*I26)</f>
        <v/>
      </c>
      <c r="K26" s="8" t="s">
        <v>287</v>
      </c>
    </row>
    <row r="27" customFormat="false" ht="23.85" hidden="false" customHeight="false" outlineLevel="0" collapsed="false">
      <c r="A27" s="21" t="s">
        <v>152</v>
      </c>
      <c r="B27" s="7" t="s">
        <v>288</v>
      </c>
      <c r="C27" s="7" t="s">
        <v>289</v>
      </c>
      <c r="D27" s="7" t="s">
        <v>290</v>
      </c>
      <c r="E27" s="21" t="s">
        <v>291</v>
      </c>
      <c r="F27" s="21" t="s">
        <v>286</v>
      </c>
      <c r="G27" s="31" t="n">
        <f aca="false">ROUND(SUM(G11:G16)*2.56/27,1)</f>
        <v>91.7</v>
      </c>
      <c r="H27" s="21" t="s">
        <v>292</v>
      </c>
      <c r="I27" s="23"/>
      <c r="J27" s="35" t="str">
        <f aca="false">IF(I27="","",G27*I27)</f>
        <v/>
      </c>
      <c r="K27" s="8" t="s">
        <v>293</v>
      </c>
    </row>
    <row r="28" customFormat="false" ht="23.85" hidden="false" customHeight="false" outlineLevel="0" collapsed="false">
      <c r="A28" s="21" t="s">
        <v>156</v>
      </c>
      <c r="B28" s="7" t="s">
        <v>294</v>
      </c>
      <c r="C28" s="7" t="s">
        <v>295</v>
      </c>
      <c r="D28" s="7" t="s">
        <v>290</v>
      </c>
      <c r="E28" s="21" t="s">
        <v>296</v>
      </c>
      <c r="F28" s="21" t="s">
        <v>286</v>
      </c>
      <c r="G28" s="31" t="n">
        <f aca="false">ROUND(SUM(G18:G19)*4.34/27,1)</f>
        <v>22.7</v>
      </c>
      <c r="H28" s="21" t="s">
        <v>292</v>
      </c>
      <c r="I28" s="23"/>
      <c r="J28" s="35" t="str">
        <f aca="false">IF(I28="","",G28*I28)</f>
        <v/>
      </c>
      <c r="K28" s="8" t="s">
        <v>297</v>
      </c>
    </row>
    <row r="29" customFormat="false" ht="23.85" hidden="false" customHeight="false" outlineLevel="0" collapsed="false">
      <c r="A29" s="21" t="s">
        <v>160</v>
      </c>
      <c r="B29" s="26" t="s">
        <v>298</v>
      </c>
      <c r="C29" s="7" t="s">
        <v>299</v>
      </c>
      <c r="D29" s="7" t="s">
        <v>300</v>
      </c>
      <c r="E29" s="21" t="s">
        <v>301</v>
      </c>
      <c r="F29" s="21" t="s">
        <v>286</v>
      </c>
      <c r="G29" s="31" t="n">
        <f aca="false">ROUND(SUM(G21:G22)*0.83/27,1)</f>
        <v>9.2</v>
      </c>
      <c r="H29" s="21" t="s">
        <v>292</v>
      </c>
      <c r="I29" s="23"/>
      <c r="J29" s="35" t="str">
        <f aca="false">IF(I29="","",G29*I29)</f>
        <v/>
      </c>
      <c r="K29" s="27" t="s">
        <v>302</v>
      </c>
    </row>
    <row r="30" customFormat="false" ht="23.85" hidden="false" customHeight="false" outlineLevel="0" collapsed="false">
      <c r="A30" s="21" t="s">
        <v>166</v>
      </c>
      <c r="B30" s="7" t="s">
        <v>303</v>
      </c>
      <c r="C30" s="7" t="s">
        <v>304</v>
      </c>
      <c r="D30" s="7" t="s">
        <v>305</v>
      </c>
      <c r="E30" s="21" t="s">
        <v>306</v>
      </c>
      <c r="F30" s="21" t="s">
        <v>199</v>
      </c>
      <c r="G30" s="22" t="n">
        <v>1</v>
      </c>
      <c r="H30" s="21" t="s">
        <v>77</v>
      </c>
      <c r="I30" s="23"/>
      <c r="J30" s="24" t="str">
        <f aca="false">IF(I30="","",G30*I30)</f>
        <v/>
      </c>
      <c r="K30" s="8"/>
    </row>
    <row r="31" customFormat="false" ht="23.85" hidden="false" customHeight="false" outlineLevel="0" collapsed="false">
      <c r="A31" s="21" t="s">
        <v>172</v>
      </c>
      <c r="B31" s="7" t="s">
        <v>307</v>
      </c>
      <c r="C31" s="7" t="s">
        <v>65</v>
      </c>
      <c r="D31" s="7" t="s">
        <v>308</v>
      </c>
      <c r="E31" s="21" t="s">
        <v>309</v>
      </c>
      <c r="F31" s="21" t="s">
        <v>199</v>
      </c>
      <c r="G31" s="22" t="n">
        <v>1</v>
      </c>
      <c r="H31" s="21" t="s">
        <v>77</v>
      </c>
      <c r="I31" s="23"/>
      <c r="J31" s="24" t="str">
        <f aca="false">IF(I31="","",G31*I31)</f>
        <v/>
      </c>
      <c r="K31" s="8"/>
    </row>
    <row r="32" customFormat="false" ht="15" hidden="false" customHeight="false" outlineLevel="0" collapsed="false">
      <c r="A32" s="28"/>
      <c r="B32" s="29" t="s">
        <v>206</v>
      </c>
      <c r="C32" s="28"/>
      <c r="D32" s="28"/>
      <c r="E32" s="28"/>
      <c r="F32" s="28"/>
      <c r="G32" s="28"/>
      <c r="H32" s="28"/>
      <c r="I32" s="28"/>
      <c r="J32" s="30" t="n">
        <f aca="false">SUM(J26:J31)</f>
        <v>0</v>
      </c>
      <c r="K32" s="28"/>
    </row>
    <row r="33" customFormat="false" ht="15" hidden="false" customHeight="false" outlineLevel="0" collapsed="false">
      <c r="A33" s="19" t="s">
        <v>310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customFormat="false" ht="23.85" hidden="false" customHeight="false" outlineLevel="0" collapsed="false">
      <c r="A34" s="21" t="s">
        <v>208</v>
      </c>
      <c r="B34" s="26" t="s">
        <v>311</v>
      </c>
      <c r="C34" s="7" t="s">
        <v>312</v>
      </c>
      <c r="D34" s="7" t="s">
        <v>313</v>
      </c>
      <c r="E34" s="21" t="s">
        <v>314</v>
      </c>
      <c r="F34" s="21" t="s">
        <v>60</v>
      </c>
      <c r="G34" s="22" t="n">
        <v>1600</v>
      </c>
      <c r="H34" s="21" t="s">
        <v>61</v>
      </c>
      <c r="I34" s="23"/>
      <c r="J34" s="24" t="str">
        <f aca="false">IF(I34="","",G34*I34)</f>
        <v/>
      </c>
      <c r="K34" s="27" t="s">
        <v>315</v>
      </c>
    </row>
    <row r="35" customFormat="false" ht="23.85" hidden="false" customHeight="false" outlineLevel="0" collapsed="false">
      <c r="A35" s="21" t="s">
        <v>214</v>
      </c>
      <c r="B35" s="7" t="s">
        <v>316</v>
      </c>
      <c r="C35" s="7" t="s">
        <v>317</v>
      </c>
      <c r="D35" s="7" t="s">
        <v>318</v>
      </c>
      <c r="E35" s="21" t="s">
        <v>319</v>
      </c>
      <c r="F35" s="21" t="s">
        <v>199</v>
      </c>
      <c r="G35" s="22" t="n">
        <v>1</v>
      </c>
      <c r="H35" s="21" t="s">
        <v>77</v>
      </c>
      <c r="I35" s="23"/>
      <c r="J35" s="24" t="str">
        <f aca="false">IF(I35="","",G35*I35)</f>
        <v/>
      </c>
      <c r="K35" s="8" t="s">
        <v>320</v>
      </c>
    </row>
    <row r="36" customFormat="false" ht="23.85" hidden="false" customHeight="false" outlineLevel="0" collapsed="false">
      <c r="A36" s="21" t="s">
        <v>321</v>
      </c>
      <c r="B36" s="26" t="s">
        <v>322</v>
      </c>
      <c r="C36" s="7" t="s">
        <v>323</v>
      </c>
      <c r="D36" s="7" t="s">
        <v>324</v>
      </c>
      <c r="E36" s="21" t="s">
        <v>325</v>
      </c>
      <c r="F36" s="21" t="s">
        <v>199</v>
      </c>
      <c r="G36" s="22" t="n">
        <v>1</v>
      </c>
      <c r="H36" s="21" t="s">
        <v>77</v>
      </c>
      <c r="I36" s="23"/>
      <c r="J36" s="24" t="str">
        <f aca="false">IF(I36="","",G36*I36)</f>
        <v/>
      </c>
      <c r="K36" s="27" t="s">
        <v>326</v>
      </c>
    </row>
    <row r="37" customFormat="false" ht="23.85" hidden="false" customHeight="false" outlineLevel="0" collapsed="false">
      <c r="A37" s="21" t="s">
        <v>327</v>
      </c>
      <c r="B37" s="7" t="s">
        <v>328</v>
      </c>
      <c r="C37" s="7" t="s">
        <v>329</v>
      </c>
      <c r="D37" s="7" t="s">
        <v>330</v>
      </c>
      <c r="E37" s="21" t="s">
        <v>319</v>
      </c>
      <c r="F37" s="21" t="s">
        <v>68</v>
      </c>
      <c r="G37" s="25" t="n">
        <v>1</v>
      </c>
      <c r="H37" s="21" t="s">
        <v>77</v>
      </c>
      <c r="I37" s="23"/>
      <c r="J37" s="24" t="str">
        <f aca="false">IF(I37="","",G37*I37)</f>
        <v/>
      </c>
      <c r="K37" s="8"/>
    </row>
    <row r="38" customFormat="false" ht="15" hidden="false" customHeight="false" outlineLevel="0" collapsed="false">
      <c r="A38" s="28"/>
      <c r="B38" s="29" t="s">
        <v>219</v>
      </c>
      <c r="C38" s="28"/>
      <c r="D38" s="28"/>
      <c r="E38" s="28"/>
      <c r="F38" s="28"/>
      <c r="G38" s="28"/>
      <c r="H38" s="28"/>
      <c r="I38" s="28"/>
      <c r="J38" s="30" t="n">
        <f aca="false">SUM(J34:J37)</f>
        <v>0</v>
      </c>
      <c r="K38" s="28"/>
    </row>
    <row r="40" customFormat="false" ht="15" hidden="false" customHeight="false" outlineLevel="0" collapsed="false">
      <c r="A40" s="11"/>
      <c r="B40" s="10" t="s">
        <v>331</v>
      </c>
      <c r="C40" s="11"/>
      <c r="D40" s="11"/>
      <c r="E40" s="11"/>
      <c r="F40" s="11"/>
      <c r="G40" s="11"/>
      <c r="H40" s="11"/>
      <c r="I40" s="11"/>
      <c r="J40" s="12" t="n">
        <f aca="false">J9+J24+J32+J38</f>
        <v>0</v>
      </c>
      <c r="K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8" t="s">
        <v>332</v>
      </c>
    </row>
    <row r="2" customFormat="false" ht="15" hidden="false" customHeight="false" outlineLevel="0" collapsed="false">
      <c r="A2" s="3" t="s">
        <v>43</v>
      </c>
    </row>
    <row r="4" customFormat="false" ht="26.85" hidden="false" customHeight="fals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7</v>
      </c>
      <c r="K4" s="6" t="s">
        <v>53</v>
      </c>
    </row>
    <row r="5" customFormat="false" ht="15" hidden="false" customHeight="false" outlineLevel="0" collapsed="false">
      <c r="A5" s="19" t="s">
        <v>333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customFormat="false" ht="35.05" hidden="false" customHeight="false" outlineLevel="0" collapsed="false">
      <c r="A6" s="21" t="s">
        <v>55</v>
      </c>
      <c r="B6" s="26" t="s">
        <v>334</v>
      </c>
      <c r="C6" s="7" t="s">
        <v>335</v>
      </c>
      <c r="D6" s="7" t="s">
        <v>336</v>
      </c>
      <c r="E6" s="21" t="s">
        <v>337</v>
      </c>
      <c r="F6" s="21" t="s">
        <v>76</v>
      </c>
      <c r="G6" s="25" t="n">
        <v>2</v>
      </c>
      <c r="H6" s="21" t="s">
        <v>69</v>
      </c>
      <c r="I6" s="23"/>
      <c r="J6" s="24" t="str">
        <f aca="false">IF(I6="","",G6*I6)</f>
        <v/>
      </c>
      <c r="K6" s="27" t="s">
        <v>338</v>
      </c>
    </row>
    <row r="7" customFormat="false" ht="23.85" hidden="false" customHeight="false" outlineLevel="0" collapsed="false">
      <c r="A7" s="21" t="s">
        <v>63</v>
      </c>
      <c r="B7" s="7" t="s">
        <v>339</v>
      </c>
      <c r="C7" s="7" t="s">
        <v>340</v>
      </c>
      <c r="D7" s="7" t="s">
        <v>341</v>
      </c>
      <c r="E7" s="21" t="s">
        <v>342</v>
      </c>
      <c r="F7" s="21" t="s">
        <v>76</v>
      </c>
      <c r="G7" s="25" t="n">
        <v>1</v>
      </c>
      <c r="H7" s="21" t="s">
        <v>69</v>
      </c>
      <c r="I7" s="23"/>
      <c r="J7" s="24" t="str">
        <f aca="false">IF(I7="","",G7*I7)</f>
        <v/>
      </c>
      <c r="K7" s="8"/>
    </row>
    <row r="8" customFormat="false" ht="23.85" hidden="false" customHeight="false" outlineLevel="0" collapsed="false">
      <c r="A8" s="21" t="s">
        <v>71</v>
      </c>
      <c r="B8" s="26" t="s">
        <v>343</v>
      </c>
      <c r="C8" s="7" t="s">
        <v>344</v>
      </c>
      <c r="D8" s="7" t="s">
        <v>345</v>
      </c>
      <c r="E8" s="21" t="s">
        <v>342</v>
      </c>
      <c r="F8" s="21" t="s">
        <v>76</v>
      </c>
      <c r="G8" s="25" t="n">
        <v>1</v>
      </c>
      <c r="H8" s="21" t="s">
        <v>69</v>
      </c>
      <c r="I8" s="23"/>
      <c r="J8" s="24" t="str">
        <f aca="false">IF(I8="","",G8*I8)</f>
        <v/>
      </c>
      <c r="K8" s="27" t="s">
        <v>346</v>
      </c>
    </row>
    <row r="9" customFormat="false" ht="23.85" hidden="false" customHeight="false" outlineLevel="0" collapsed="false">
      <c r="A9" s="21" t="s">
        <v>79</v>
      </c>
      <c r="B9" s="26" t="s">
        <v>347</v>
      </c>
      <c r="C9" s="7" t="s">
        <v>348</v>
      </c>
      <c r="D9" s="7" t="s">
        <v>349</v>
      </c>
      <c r="E9" s="21" t="s">
        <v>350</v>
      </c>
      <c r="F9" s="21" t="s">
        <v>76</v>
      </c>
      <c r="G9" s="25" t="n">
        <v>1</v>
      </c>
      <c r="H9" s="21" t="s">
        <v>69</v>
      </c>
      <c r="I9" s="23"/>
      <c r="J9" s="24" t="str">
        <f aca="false">IF(I9="","",G9*I9)</f>
        <v/>
      </c>
      <c r="K9" s="27" t="s">
        <v>351</v>
      </c>
    </row>
    <row r="10" customFormat="false" ht="23.85" hidden="false" customHeight="false" outlineLevel="0" collapsed="false">
      <c r="A10" s="21" t="s">
        <v>85</v>
      </c>
      <c r="B10" s="7" t="s">
        <v>352</v>
      </c>
      <c r="C10" s="7" t="s">
        <v>65</v>
      </c>
      <c r="D10" s="7" t="s">
        <v>353</v>
      </c>
      <c r="E10" s="21" t="s">
        <v>354</v>
      </c>
      <c r="F10" s="21" t="s">
        <v>76</v>
      </c>
      <c r="G10" s="25" t="n">
        <v>3</v>
      </c>
      <c r="H10" s="21" t="s">
        <v>69</v>
      </c>
      <c r="I10" s="23"/>
      <c r="J10" s="24" t="str">
        <f aca="false">IF(I10="","",G10*I10)</f>
        <v/>
      </c>
      <c r="K10" s="8" t="s">
        <v>355</v>
      </c>
    </row>
    <row r="11" customFormat="false" ht="23.85" hidden="false" customHeight="false" outlineLevel="0" collapsed="false">
      <c r="A11" s="21" t="s">
        <v>91</v>
      </c>
      <c r="B11" s="7" t="s">
        <v>356</v>
      </c>
      <c r="C11" s="7" t="s">
        <v>357</v>
      </c>
      <c r="D11" s="7" t="s">
        <v>358</v>
      </c>
      <c r="E11" s="21" t="s">
        <v>354</v>
      </c>
      <c r="F11" s="21" t="s">
        <v>76</v>
      </c>
      <c r="G11" s="25" t="n">
        <v>3</v>
      </c>
      <c r="H11" s="21" t="s">
        <v>69</v>
      </c>
      <c r="I11" s="23"/>
      <c r="J11" s="24" t="str">
        <f aca="false">IF(I11="","",G11*I11)</f>
        <v/>
      </c>
      <c r="K11" s="8"/>
    </row>
    <row r="12" customFormat="false" ht="35.05" hidden="false" customHeight="false" outlineLevel="0" collapsed="false">
      <c r="A12" s="21" t="s">
        <v>96</v>
      </c>
      <c r="B12" s="26" t="s">
        <v>359</v>
      </c>
      <c r="C12" s="7" t="s">
        <v>65</v>
      </c>
      <c r="D12" s="7" t="s">
        <v>360</v>
      </c>
      <c r="E12" s="21" t="s">
        <v>361</v>
      </c>
      <c r="F12" s="21" t="s">
        <v>76</v>
      </c>
      <c r="G12" s="25" t="n">
        <v>3</v>
      </c>
      <c r="H12" s="21" t="s">
        <v>69</v>
      </c>
      <c r="I12" s="23"/>
      <c r="J12" s="24" t="str">
        <f aca="false">IF(I12="","",G12*I12)</f>
        <v/>
      </c>
      <c r="K12" s="27" t="s">
        <v>362</v>
      </c>
    </row>
    <row r="13" customFormat="false" ht="35.05" hidden="false" customHeight="false" outlineLevel="0" collapsed="false">
      <c r="A13" s="21" t="s">
        <v>101</v>
      </c>
      <c r="B13" s="7" t="s">
        <v>363</v>
      </c>
      <c r="C13" s="7" t="s">
        <v>364</v>
      </c>
      <c r="D13" s="7" t="s">
        <v>365</v>
      </c>
      <c r="E13" s="21" t="s">
        <v>366</v>
      </c>
      <c r="F13" s="21" t="s">
        <v>76</v>
      </c>
      <c r="G13" s="25" t="n">
        <v>2</v>
      </c>
      <c r="H13" s="21" t="s">
        <v>69</v>
      </c>
      <c r="I13" s="23"/>
      <c r="J13" s="24" t="str">
        <f aca="false">IF(I13="","",G13*I13)</f>
        <v/>
      </c>
      <c r="K13" s="8" t="s">
        <v>367</v>
      </c>
    </row>
    <row r="14" customFormat="false" ht="15" hidden="false" customHeight="false" outlineLevel="0" collapsed="false">
      <c r="A14" s="28"/>
      <c r="B14" s="29" t="s">
        <v>115</v>
      </c>
      <c r="C14" s="28"/>
      <c r="D14" s="28"/>
      <c r="E14" s="28"/>
      <c r="F14" s="28"/>
      <c r="G14" s="28"/>
      <c r="H14" s="28"/>
      <c r="I14" s="28"/>
      <c r="J14" s="30" t="n">
        <f aca="false">SUM(J6:J13)</f>
        <v>0</v>
      </c>
      <c r="K14" s="28"/>
    </row>
    <row r="15" customFormat="false" ht="15" hidden="false" customHeight="false" outlineLevel="0" collapsed="false">
      <c r="A15" s="19" t="s">
        <v>368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customFormat="false" ht="23.85" hidden="false" customHeight="false" outlineLevel="0" collapsed="false">
      <c r="A16" s="21" t="s">
        <v>117</v>
      </c>
      <c r="B16" s="7" t="s">
        <v>369</v>
      </c>
      <c r="C16" s="7" t="s">
        <v>370</v>
      </c>
      <c r="D16" s="7" t="s">
        <v>371</v>
      </c>
      <c r="E16" s="21" t="s">
        <v>372</v>
      </c>
      <c r="F16" s="21" t="s">
        <v>76</v>
      </c>
      <c r="G16" s="25" t="n">
        <v>1</v>
      </c>
      <c r="H16" s="21" t="s">
        <v>69</v>
      </c>
      <c r="I16" s="23"/>
      <c r="J16" s="24" t="str">
        <f aca="false">IF(I16="","",G16*I16)</f>
        <v/>
      </c>
      <c r="K16" s="8"/>
    </row>
    <row r="17" customFormat="false" ht="15" hidden="false" customHeight="false" outlineLevel="0" collapsed="false">
      <c r="A17" s="21" t="s">
        <v>123</v>
      </c>
      <c r="B17" s="26" t="s">
        <v>373</v>
      </c>
      <c r="C17" s="7" t="s">
        <v>374</v>
      </c>
      <c r="D17" s="7" t="s">
        <v>375</v>
      </c>
      <c r="E17" s="21" t="s">
        <v>376</v>
      </c>
      <c r="F17" s="21" t="s">
        <v>76</v>
      </c>
      <c r="G17" s="25" t="n">
        <v>1</v>
      </c>
      <c r="H17" s="21" t="s">
        <v>69</v>
      </c>
      <c r="I17" s="23"/>
      <c r="J17" s="24" t="str">
        <f aca="false">IF(I17="","",G17*I17)</f>
        <v/>
      </c>
      <c r="K17" s="27" t="s">
        <v>377</v>
      </c>
    </row>
    <row r="18" customFormat="false" ht="15" hidden="false" customHeight="false" outlineLevel="0" collapsed="false">
      <c r="A18" s="21" t="s">
        <v>128</v>
      </c>
      <c r="B18" s="7" t="s">
        <v>378</v>
      </c>
      <c r="C18" s="7" t="s">
        <v>379</v>
      </c>
      <c r="D18" s="7" t="s">
        <v>380</v>
      </c>
      <c r="E18" s="21" t="s">
        <v>376</v>
      </c>
      <c r="F18" s="21" t="s">
        <v>76</v>
      </c>
      <c r="G18" s="25" t="n">
        <v>1</v>
      </c>
      <c r="H18" s="21" t="s">
        <v>69</v>
      </c>
      <c r="I18" s="23"/>
      <c r="J18" s="24" t="str">
        <f aca="false">IF(I18="","",G18*I18)</f>
        <v/>
      </c>
      <c r="K18" s="8"/>
    </row>
    <row r="19" customFormat="false" ht="23.85" hidden="false" customHeight="false" outlineLevel="0" collapsed="false">
      <c r="A19" s="21" t="s">
        <v>133</v>
      </c>
      <c r="B19" s="7" t="s">
        <v>381</v>
      </c>
      <c r="C19" s="7" t="s">
        <v>382</v>
      </c>
      <c r="D19" s="7" t="s">
        <v>383</v>
      </c>
      <c r="E19" s="21" t="s">
        <v>384</v>
      </c>
      <c r="F19" s="21" t="s">
        <v>76</v>
      </c>
      <c r="G19" s="25" t="n">
        <v>1</v>
      </c>
      <c r="H19" s="21" t="s">
        <v>77</v>
      </c>
      <c r="I19" s="23"/>
      <c r="J19" s="24" t="str">
        <f aca="false">IF(I19="","",G19*I19)</f>
        <v/>
      </c>
      <c r="K19" s="8"/>
    </row>
    <row r="20" customFormat="false" ht="23.85" hidden="false" customHeight="false" outlineLevel="0" collapsed="false">
      <c r="A20" s="21" t="s">
        <v>139</v>
      </c>
      <c r="B20" s="7" t="s">
        <v>385</v>
      </c>
      <c r="C20" s="7" t="s">
        <v>386</v>
      </c>
      <c r="D20" s="7" t="s">
        <v>387</v>
      </c>
      <c r="E20" s="21" t="s">
        <v>354</v>
      </c>
      <c r="F20" s="21" t="s">
        <v>76</v>
      </c>
      <c r="G20" s="25" t="n">
        <v>1</v>
      </c>
      <c r="H20" s="21" t="s">
        <v>69</v>
      </c>
      <c r="I20" s="23"/>
      <c r="J20" s="24" t="str">
        <f aca="false">IF(I20="","",G20*I20)</f>
        <v/>
      </c>
      <c r="K20" s="8" t="s">
        <v>388</v>
      </c>
    </row>
    <row r="21" customFormat="false" ht="23.85" hidden="false" customHeight="false" outlineLevel="0" collapsed="false">
      <c r="A21" s="21" t="s">
        <v>256</v>
      </c>
      <c r="B21" s="7" t="s">
        <v>389</v>
      </c>
      <c r="C21" s="7" t="s">
        <v>390</v>
      </c>
      <c r="D21" s="7" t="s">
        <v>391</v>
      </c>
      <c r="E21" s="21" t="s">
        <v>392</v>
      </c>
      <c r="F21" s="21" t="s">
        <v>68</v>
      </c>
      <c r="G21" s="25" t="n">
        <v>1</v>
      </c>
      <c r="H21" s="21" t="s">
        <v>69</v>
      </c>
      <c r="I21" s="23"/>
      <c r="J21" s="24" t="str">
        <f aca="false">IF(I21="","",G21*I21)</f>
        <v/>
      </c>
      <c r="K21" s="8"/>
    </row>
    <row r="22" customFormat="false" ht="23.85" hidden="false" customHeight="false" outlineLevel="0" collapsed="false">
      <c r="A22" s="21" t="s">
        <v>260</v>
      </c>
      <c r="B22" s="26" t="s">
        <v>393</v>
      </c>
      <c r="C22" s="7" t="s">
        <v>65</v>
      </c>
      <c r="D22" s="7" t="s">
        <v>65</v>
      </c>
      <c r="E22" s="21" t="s">
        <v>394</v>
      </c>
      <c r="F22" s="21" t="s">
        <v>395</v>
      </c>
      <c r="G22" s="25" t="n">
        <v>0</v>
      </c>
      <c r="H22" s="21" t="s">
        <v>69</v>
      </c>
      <c r="I22" s="36"/>
      <c r="J22" s="35"/>
      <c r="K22" s="27" t="s">
        <v>396</v>
      </c>
    </row>
    <row r="23" customFormat="false" ht="23.85" hidden="false" customHeight="false" outlineLevel="0" collapsed="false">
      <c r="A23" s="21" t="s">
        <v>262</v>
      </c>
      <c r="B23" s="7" t="s">
        <v>397</v>
      </c>
      <c r="C23" s="7" t="s">
        <v>65</v>
      </c>
      <c r="D23" s="7" t="s">
        <v>398</v>
      </c>
      <c r="E23" s="21" t="s">
        <v>394</v>
      </c>
      <c r="F23" s="21" t="s">
        <v>199</v>
      </c>
      <c r="G23" s="22" t="n">
        <v>1</v>
      </c>
      <c r="H23" s="21" t="s">
        <v>77</v>
      </c>
      <c r="I23" s="23"/>
      <c r="J23" s="24" t="str">
        <f aca="false">IF(I23="","",G23*I23)</f>
        <v/>
      </c>
      <c r="K23" s="8"/>
    </row>
    <row r="24" customFormat="false" ht="15" hidden="false" customHeight="false" outlineLevel="0" collapsed="false">
      <c r="A24" s="28"/>
      <c r="B24" s="29" t="s">
        <v>144</v>
      </c>
      <c r="C24" s="28"/>
      <c r="D24" s="28"/>
      <c r="E24" s="28"/>
      <c r="F24" s="28"/>
      <c r="G24" s="28"/>
      <c r="H24" s="28"/>
      <c r="I24" s="28"/>
      <c r="J24" s="30" t="n">
        <f aca="false">SUM(J16:J23)</f>
        <v>0</v>
      </c>
      <c r="K24" s="28"/>
    </row>
    <row r="25" customFormat="false" ht="15" hidden="false" customHeight="false" outlineLevel="0" collapsed="false">
      <c r="A25" s="19" t="s">
        <v>399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customFormat="false" ht="23.85" hidden="false" customHeight="false" outlineLevel="0" collapsed="false">
      <c r="A26" s="21" t="s">
        <v>146</v>
      </c>
      <c r="B26" s="26" t="s">
        <v>400</v>
      </c>
      <c r="C26" s="7" t="s">
        <v>401</v>
      </c>
      <c r="D26" s="7" t="s">
        <v>402</v>
      </c>
      <c r="E26" s="21" t="s">
        <v>403</v>
      </c>
      <c r="F26" s="21" t="s">
        <v>199</v>
      </c>
      <c r="G26" s="22" t="n">
        <v>1800</v>
      </c>
      <c r="H26" s="21" t="s">
        <v>61</v>
      </c>
      <c r="I26" s="23"/>
      <c r="J26" s="24" t="str">
        <f aca="false">IF(I26="","",G26*I26)</f>
        <v/>
      </c>
      <c r="K26" s="27" t="s">
        <v>404</v>
      </c>
    </row>
    <row r="27" customFormat="false" ht="23.85" hidden="false" customHeight="false" outlineLevel="0" collapsed="false">
      <c r="A27" s="21" t="s">
        <v>152</v>
      </c>
      <c r="B27" s="26" t="s">
        <v>405</v>
      </c>
      <c r="C27" s="7" t="s">
        <v>406</v>
      </c>
      <c r="D27" s="7" t="s">
        <v>407</v>
      </c>
      <c r="E27" s="21" t="s">
        <v>408</v>
      </c>
      <c r="F27" s="21" t="s">
        <v>199</v>
      </c>
      <c r="G27" s="22" t="n">
        <v>1400</v>
      </c>
      <c r="H27" s="21" t="s">
        <v>61</v>
      </c>
      <c r="I27" s="23"/>
      <c r="J27" s="24" t="str">
        <f aca="false">IF(I27="","",G27*I27)</f>
        <v/>
      </c>
      <c r="K27" s="27" t="s">
        <v>409</v>
      </c>
    </row>
    <row r="28" customFormat="false" ht="23.85" hidden="false" customHeight="false" outlineLevel="0" collapsed="false">
      <c r="A28" s="21" t="s">
        <v>156</v>
      </c>
      <c r="B28" s="7" t="s">
        <v>410</v>
      </c>
      <c r="C28" s="7" t="s">
        <v>65</v>
      </c>
      <c r="D28" s="7" t="s">
        <v>65</v>
      </c>
      <c r="E28" s="21" t="s">
        <v>376</v>
      </c>
      <c r="F28" s="21" t="s">
        <v>68</v>
      </c>
      <c r="G28" s="25" t="n">
        <v>0</v>
      </c>
      <c r="H28" s="21" t="s">
        <v>77</v>
      </c>
      <c r="I28" s="36"/>
      <c r="J28" s="35"/>
      <c r="K28" s="8" t="s">
        <v>411</v>
      </c>
    </row>
    <row r="29" customFormat="false" ht="23.85" hidden="false" customHeight="false" outlineLevel="0" collapsed="false">
      <c r="A29" s="21" t="s">
        <v>160</v>
      </c>
      <c r="B29" s="7" t="s">
        <v>412</v>
      </c>
      <c r="C29" s="7" t="s">
        <v>65</v>
      </c>
      <c r="D29" s="7" t="s">
        <v>413</v>
      </c>
      <c r="E29" s="21" t="s">
        <v>414</v>
      </c>
      <c r="F29" s="21" t="s">
        <v>199</v>
      </c>
      <c r="G29" s="22" t="n">
        <v>1</v>
      </c>
      <c r="H29" s="21" t="s">
        <v>77</v>
      </c>
      <c r="I29" s="23"/>
      <c r="J29" s="24" t="str">
        <f aca="false">IF(I29="","",G29*I29)</f>
        <v/>
      </c>
      <c r="K29" s="8"/>
    </row>
    <row r="30" customFormat="false" ht="15" hidden="false" customHeight="false" outlineLevel="0" collapsed="false">
      <c r="A30" s="28"/>
      <c r="B30" s="29" t="s">
        <v>206</v>
      </c>
      <c r="C30" s="28"/>
      <c r="D30" s="28"/>
      <c r="E30" s="28"/>
      <c r="F30" s="28"/>
      <c r="G30" s="28"/>
      <c r="H30" s="28"/>
      <c r="I30" s="28"/>
      <c r="J30" s="30" t="n">
        <f aca="false">SUM(J26:J29)</f>
        <v>0</v>
      </c>
      <c r="K30" s="28"/>
    </row>
    <row r="31" customFormat="false" ht="15" hidden="false" customHeight="false" outlineLevel="0" collapsed="false">
      <c r="A31" s="19" t="s">
        <v>415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customFormat="false" ht="23.85" hidden="false" customHeight="false" outlineLevel="0" collapsed="false">
      <c r="A32" s="21" t="s">
        <v>208</v>
      </c>
      <c r="B32" s="26" t="s">
        <v>416</v>
      </c>
      <c r="C32" s="7" t="s">
        <v>65</v>
      </c>
      <c r="D32" s="7" t="s">
        <v>65</v>
      </c>
      <c r="E32" s="21" t="s">
        <v>394</v>
      </c>
      <c r="F32" s="21" t="s">
        <v>395</v>
      </c>
      <c r="G32" s="25" t="n">
        <v>0</v>
      </c>
      <c r="H32" s="21" t="s">
        <v>65</v>
      </c>
      <c r="I32" s="36"/>
      <c r="J32" s="35"/>
      <c r="K32" s="27" t="s">
        <v>417</v>
      </c>
    </row>
    <row r="33" customFormat="false" ht="23.85" hidden="false" customHeight="false" outlineLevel="0" collapsed="false">
      <c r="A33" s="21" t="s">
        <v>214</v>
      </c>
      <c r="B33" s="26" t="s">
        <v>418</v>
      </c>
      <c r="C33" s="7" t="s">
        <v>65</v>
      </c>
      <c r="D33" s="7" t="s">
        <v>65</v>
      </c>
      <c r="E33" s="21" t="s">
        <v>394</v>
      </c>
      <c r="F33" s="21" t="s">
        <v>395</v>
      </c>
      <c r="G33" s="25" t="n">
        <v>0</v>
      </c>
      <c r="H33" s="21" t="s">
        <v>65</v>
      </c>
      <c r="I33" s="36"/>
      <c r="J33" s="35"/>
      <c r="K33" s="27" t="s">
        <v>417</v>
      </c>
    </row>
    <row r="34" customFormat="false" ht="23.85" hidden="false" customHeight="false" outlineLevel="0" collapsed="false">
      <c r="A34" s="21" t="s">
        <v>321</v>
      </c>
      <c r="B34" s="26" t="s">
        <v>419</v>
      </c>
      <c r="C34" s="7" t="s">
        <v>65</v>
      </c>
      <c r="D34" s="7" t="s">
        <v>65</v>
      </c>
      <c r="E34" s="21" t="s">
        <v>394</v>
      </c>
      <c r="F34" s="21" t="s">
        <v>395</v>
      </c>
      <c r="G34" s="25" t="n">
        <v>0</v>
      </c>
      <c r="H34" s="21" t="s">
        <v>65</v>
      </c>
      <c r="I34" s="36"/>
      <c r="J34" s="35"/>
      <c r="K34" s="27" t="s">
        <v>420</v>
      </c>
    </row>
    <row r="35" customFormat="false" ht="15" hidden="false" customHeight="false" outlineLevel="0" collapsed="false">
      <c r="A35" s="21" t="s">
        <v>327</v>
      </c>
      <c r="B35" s="26" t="s">
        <v>421</v>
      </c>
      <c r="C35" s="7" t="s">
        <v>65</v>
      </c>
      <c r="D35" s="7" t="s">
        <v>65</v>
      </c>
      <c r="E35" s="21" t="s">
        <v>394</v>
      </c>
      <c r="F35" s="21" t="s">
        <v>395</v>
      </c>
      <c r="G35" s="25" t="n">
        <v>0</v>
      </c>
      <c r="H35" s="21" t="s">
        <v>65</v>
      </c>
      <c r="I35" s="36"/>
      <c r="J35" s="35"/>
      <c r="K35" s="27" t="s">
        <v>417</v>
      </c>
    </row>
    <row r="37" customFormat="false" ht="15" hidden="false" customHeight="false" outlineLevel="0" collapsed="false">
      <c r="A37" s="11"/>
      <c r="B37" s="10" t="s">
        <v>422</v>
      </c>
      <c r="C37" s="11"/>
      <c r="D37" s="11"/>
      <c r="E37" s="11"/>
      <c r="F37" s="11"/>
      <c r="G37" s="11"/>
      <c r="H37" s="11"/>
      <c r="I37" s="11"/>
      <c r="J37" s="12" t="n">
        <f aca="false">J14+J24+J30</f>
        <v>0</v>
      </c>
      <c r="K3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8" t="s">
        <v>423</v>
      </c>
    </row>
    <row r="2" customFormat="false" ht="15" hidden="false" customHeight="false" outlineLevel="0" collapsed="false">
      <c r="A2" s="3" t="s">
        <v>424</v>
      </c>
    </row>
    <row r="4" customFormat="false" ht="15" hidden="false" customHeight="false" outlineLevel="0" collapsed="false">
      <c r="A4" s="6" t="s">
        <v>425</v>
      </c>
      <c r="B4" s="6" t="s">
        <v>44</v>
      </c>
      <c r="C4" s="6" t="s">
        <v>426</v>
      </c>
      <c r="D4" s="6" t="s">
        <v>427</v>
      </c>
      <c r="E4" s="6" t="s">
        <v>428</v>
      </c>
      <c r="F4" s="6" t="s">
        <v>429</v>
      </c>
      <c r="G4" s="6" t="s">
        <v>50</v>
      </c>
      <c r="H4" s="6" t="s">
        <v>51</v>
      </c>
      <c r="I4" s="6" t="s">
        <v>53</v>
      </c>
    </row>
    <row r="5" customFormat="false" ht="15" hidden="false" customHeight="false" outlineLevel="0" collapsed="false">
      <c r="A5" s="19" t="s">
        <v>430</v>
      </c>
      <c r="B5" s="20"/>
      <c r="C5" s="20"/>
      <c r="D5" s="20"/>
      <c r="E5" s="20"/>
      <c r="F5" s="20"/>
      <c r="G5" s="20"/>
      <c r="H5" s="20"/>
      <c r="I5" s="20"/>
    </row>
    <row r="6" customFormat="false" ht="23.85" hidden="false" customHeight="false" outlineLevel="0" collapsed="false">
      <c r="A6" s="21" t="s">
        <v>431</v>
      </c>
      <c r="B6" s="7" t="s">
        <v>432</v>
      </c>
      <c r="C6" s="7" t="s">
        <v>433</v>
      </c>
      <c r="D6" s="7" t="s">
        <v>434</v>
      </c>
      <c r="E6" s="7" t="s">
        <v>435</v>
      </c>
      <c r="F6" s="21" t="s">
        <v>436</v>
      </c>
      <c r="G6" s="37" t="n">
        <f aca="false">'Site Electrical'!G25</f>
        <v>9</v>
      </c>
      <c r="H6" s="21" t="s">
        <v>69</v>
      </c>
      <c r="I6" s="8" t="s">
        <v>437</v>
      </c>
    </row>
    <row r="7" customFormat="false" ht="23.85" hidden="false" customHeight="false" outlineLevel="0" collapsed="false">
      <c r="A7" s="21" t="s">
        <v>438</v>
      </c>
      <c r="B7" s="7" t="s">
        <v>439</v>
      </c>
      <c r="C7" s="7" t="s">
        <v>433</v>
      </c>
      <c r="D7" s="7" t="s">
        <v>434</v>
      </c>
      <c r="E7" s="7" t="s">
        <v>440</v>
      </c>
      <c r="F7" s="21" t="s">
        <v>436</v>
      </c>
      <c r="G7" s="37" t="n">
        <f aca="false">'Site Electrical'!G26</f>
        <v>7</v>
      </c>
      <c r="H7" s="21" t="s">
        <v>69</v>
      </c>
      <c r="I7" s="8" t="s">
        <v>441</v>
      </c>
    </row>
    <row r="8" customFormat="false" ht="23.85" hidden="false" customHeight="false" outlineLevel="0" collapsed="false">
      <c r="A8" s="21" t="s">
        <v>442</v>
      </c>
      <c r="B8" s="7" t="s">
        <v>443</v>
      </c>
      <c r="C8" s="7" t="s">
        <v>433</v>
      </c>
      <c r="D8" s="7" t="s">
        <v>434</v>
      </c>
      <c r="E8" s="7" t="s">
        <v>444</v>
      </c>
      <c r="F8" s="21" t="s">
        <v>436</v>
      </c>
      <c r="G8" s="37" t="n">
        <f aca="false">'Site Electrical'!G27</f>
        <v>2</v>
      </c>
      <c r="H8" s="21" t="s">
        <v>69</v>
      </c>
      <c r="I8" s="8"/>
    </row>
    <row r="9" customFormat="false" ht="23.85" hidden="false" customHeight="false" outlineLevel="0" collapsed="false">
      <c r="A9" s="21" t="s">
        <v>445</v>
      </c>
      <c r="B9" s="7" t="s">
        <v>446</v>
      </c>
      <c r="C9" s="7" t="s">
        <v>447</v>
      </c>
      <c r="D9" s="7" t="s">
        <v>448</v>
      </c>
      <c r="E9" s="7" t="s">
        <v>449</v>
      </c>
      <c r="F9" s="38" t="s">
        <v>450</v>
      </c>
      <c r="G9" s="21" t="n">
        <v>18</v>
      </c>
      <c r="H9" s="21" t="s">
        <v>69</v>
      </c>
      <c r="I9" s="8" t="s">
        <v>451</v>
      </c>
    </row>
    <row r="10" customFormat="false" ht="23.85" hidden="false" customHeight="false" outlineLevel="0" collapsed="false">
      <c r="A10" s="21" t="s">
        <v>452</v>
      </c>
      <c r="B10" s="7" t="s">
        <v>453</v>
      </c>
      <c r="C10" s="7" t="s">
        <v>454</v>
      </c>
      <c r="D10" s="7" t="s">
        <v>455</v>
      </c>
      <c r="E10" s="7" t="s">
        <v>456</v>
      </c>
      <c r="F10" s="21" t="s">
        <v>436</v>
      </c>
      <c r="G10" s="37" t="n">
        <f aca="false">'Site Electrical'!G30</f>
        <v>6</v>
      </c>
      <c r="H10" s="21" t="s">
        <v>69</v>
      </c>
      <c r="I10" s="8" t="s">
        <v>457</v>
      </c>
    </row>
    <row r="11" customFormat="false" ht="15" hidden="false" customHeight="false" outlineLevel="0" collapsed="false">
      <c r="A11" s="21" t="s">
        <v>458</v>
      </c>
      <c r="B11" s="7" t="s">
        <v>459</v>
      </c>
      <c r="C11" s="7" t="s">
        <v>460</v>
      </c>
      <c r="D11" s="7" t="s">
        <v>461</v>
      </c>
      <c r="E11" s="7" t="s">
        <v>462</v>
      </c>
      <c r="F11" s="21" t="s">
        <v>436</v>
      </c>
      <c r="G11" s="37" t="n">
        <f aca="false">'Site Electrical'!G32</f>
        <v>3</v>
      </c>
      <c r="H11" s="21" t="s">
        <v>69</v>
      </c>
      <c r="I11" s="8" t="s">
        <v>463</v>
      </c>
    </row>
    <row r="12" customFormat="false" ht="23.85" hidden="false" customHeight="false" outlineLevel="0" collapsed="false">
      <c r="A12" s="21" t="s">
        <v>464</v>
      </c>
      <c r="B12" s="7" t="s">
        <v>465</v>
      </c>
      <c r="C12" s="7" t="s">
        <v>466</v>
      </c>
      <c r="D12" s="7" t="s">
        <v>467</v>
      </c>
      <c r="E12" s="7" t="s">
        <v>65</v>
      </c>
      <c r="F12" s="38" t="s">
        <v>450</v>
      </c>
      <c r="G12" s="37" t="n">
        <f aca="false">'Site Electrical'!G33</f>
        <v>1</v>
      </c>
      <c r="H12" s="21" t="s">
        <v>69</v>
      </c>
      <c r="I12" s="8" t="s">
        <v>468</v>
      </c>
    </row>
    <row r="13" customFormat="false" ht="15" hidden="false" customHeight="false" outlineLevel="0" collapsed="false">
      <c r="A13" s="19" t="s">
        <v>469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21" t="s">
        <v>470</v>
      </c>
      <c r="B14" s="7" t="s">
        <v>471</v>
      </c>
      <c r="C14" s="7" t="s">
        <v>472</v>
      </c>
      <c r="D14" s="7" t="s">
        <v>473</v>
      </c>
      <c r="E14" s="7" t="s">
        <v>81</v>
      </c>
      <c r="F14" s="34" t="s">
        <v>474</v>
      </c>
      <c r="G14" s="21" t="n">
        <v>1</v>
      </c>
      <c r="H14" s="21" t="s">
        <v>69</v>
      </c>
      <c r="I14" s="8" t="s">
        <v>475</v>
      </c>
    </row>
    <row r="15" customFormat="false" ht="23.85" hidden="false" customHeight="false" outlineLevel="0" collapsed="false">
      <c r="A15" s="21" t="s">
        <v>476</v>
      </c>
      <c r="B15" s="7" t="s">
        <v>477</v>
      </c>
      <c r="C15" s="7" t="s">
        <v>478</v>
      </c>
      <c r="D15" s="7" t="s">
        <v>479</v>
      </c>
      <c r="E15" s="7" t="s">
        <v>480</v>
      </c>
      <c r="F15" s="39" t="s">
        <v>481</v>
      </c>
      <c r="G15" s="37" t="n">
        <f aca="false">'Site Electrical'!G20</f>
        <v>1</v>
      </c>
      <c r="H15" s="21" t="s">
        <v>69</v>
      </c>
      <c r="I15" s="8" t="s">
        <v>482</v>
      </c>
    </row>
    <row r="16" customFormat="false" ht="15" hidden="false" customHeight="false" outlineLevel="0" collapsed="false">
      <c r="A16" s="21" t="s">
        <v>483</v>
      </c>
      <c r="B16" s="7" t="s">
        <v>484</v>
      </c>
      <c r="C16" s="7" t="s">
        <v>485</v>
      </c>
      <c r="D16" s="7" t="s">
        <v>486</v>
      </c>
      <c r="E16" s="7" t="s">
        <v>487</v>
      </c>
      <c r="F16" s="39" t="s">
        <v>481</v>
      </c>
      <c r="G16" s="37" t="n">
        <f aca="false">'Site Electrical'!G38</f>
        <v>3</v>
      </c>
      <c r="H16" s="21" t="s">
        <v>69</v>
      </c>
      <c r="I16" s="8" t="s">
        <v>488</v>
      </c>
    </row>
    <row r="17" customFormat="false" ht="15" hidden="false" customHeight="false" outlineLevel="0" collapsed="false">
      <c r="A17" s="21" t="s">
        <v>489</v>
      </c>
      <c r="B17" s="7" t="s">
        <v>490</v>
      </c>
      <c r="C17" s="7" t="s">
        <v>491</v>
      </c>
      <c r="D17" s="7" t="s">
        <v>492</v>
      </c>
      <c r="E17" s="7" t="s">
        <v>493</v>
      </c>
      <c r="F17" s="39" t="s">
        <v>481</v>
      </c>
      <c r="G17" s="37" t="n">
        <f aca="false">'Site Electrical'!G29</f>
        <v>18</v>
      </c>
      <c r="H17" s="21" t="s">
        <v>69</v>
      </c>
      <c r="I17" s="8" t="s">
        <v>494</v>
      </c>
    </row>
    <row r="18" customFormat="false" ht="15" hidden="false" customHeight="false" outlineLevel="0" collapsed="false">
      <c r="A18" s="19" t="s">
        <v>495</v>
      </c>
      <c r="B18" s="20"/>
      <c r="C18" s="20"/>
      <c r="D18" s="20"/>
      <c r="E18" s="20"/>
      <c r="F18" s="20"/>
      <c r="G18" s="20"/>
      <c r="H18" s="20"/>
      <c r="I18" s="20"/>
    </row>
    <row r="19" customFormat="false" ht="23.85" hidden="false" customHeight="false" outlineLevel="0" collapsed="false">
      <c r="A19" s="21" t="s">
        <v>496</v>
      </c>
      <c r="B19" s="7" t="s">
        <v>497</v>
      </c>
      <c r="C19" s="7" t="s">
        <v>498</v>
      </c>
      <c r="D19" s="7" t="s">
        <v>499</v>
      </c>
      <c r="E19" s="7" t="s">
        <v>500</v>
      </c>
      <c r="F19" s="38" t="s">
        <v>450</v>
      </c>
      <c r="G19" s="37" t="n">
        <f aca="false">'Telecom OSP'!G6</f>
        <v>4</v>
      </c>
      <c r="H19" s="21" t="s">
        <v>69</v>
      </c>
      <c r="I19" s="8" t="s">
        <v>501</v>
      </c>
    </row>
    <row r="20" customFormat="false" ht="23.85" hidden="false" customHeight="false" outlineLevel="0" collapsed="false">
      <c r="A20" s="21" t="s">
        <v>502</v>
      </c>
      <c r="B20" s="7" t="s">
        <v>503</v>
      </c>
      <c r="C20" s="7" t="s">
        <v>234</v>
      </c>
      <c r="D20" s="7" t="s">
        <v>504</v>
      </c>
      <c r="E20" s="7" t="s">
        <v>505</v>
      </c>
      <c r="F20" s="39" t="s">
        <v>481</v>
      </c>
      <c r="G20" s="37" t="n">
        <f aca="false">'Telecom OSP'!G7</f>
        <v>5</v>
      </c>
      <c r="H20" s="21" t="s">
        <v>69</v>
      </c>
      <c r="I20" s="8" t="s">
        <v>506</v>
      </c>
    </row>
    <row r="21" customFormat="false" ht="23.85" hidden="false" customHeight="false" outlineLevel="0" collapsed="false">
      <c r="A21" s="21" t="s">
        <v>507</v>
      </c>
      <c r="B21" s="7" t="s">
        <v>508</v>
      </c>
      <c r="C21" s="7" t="s">
        <v>509</v>
      </c>
      <c r="D21" s="7" t="s">
        <v>510</v>
      </c>
      <c r="E21" s="7" t="s">
        <v>511</v>
      </c>
      <c r="F21" s="39" t="s">
        <v>481</v>
      </c>
      <c r="G21" s="37" t="n">
        <f aca="false">ROUND('Telecom OSP'!G17*2+'Telecom OSP'!G20*4,0)</f>
        <v>2499</v>
      </c>
      <c r="H21" s="21" t="s">
        <v>61</v>
      </c>
      <c r="I21" s="8" t="s">
        <v>512</v>
      </c>
    </row>
    <row r="22" customFormat="false" ht="15" hidden="false" customHeight="false" outlineLevel="0" collapsed="false">
      <c r="A22" s="21" t="s">
        <v>513</v>
      </c>
      <c r="B22" s="7" t="s">
        <v>514</v>
      </c>
      <c r="C22" s="7" t="s">
        <v>515</v>
      </c>
      <c r="D22" s="7" t="s">
        <v>510</v>
      </c>
      <c r="E22" s="7" t="s">
        <v>516</v>
      </c>
      <c r="F22" s="39" t="s">
        <v>481</v>
      </c>
      <c r="G22" s="37" t="n">
        <f aca="false">ROUND('Telecom OSP'!G23*2,0)</f>
        <v>598</v>
      </c>
      <c r="H22" s="21" t="s">
        <v>61</v>
      </c>
      <c r="I22" s="8" t="s">
        <v>517</v>
      </c>
    </row>
    <row r="23" customFormat="false" ht="15" hidden="false" customHeight="false" outlineLevel="0" collapsed="false">
      <c r="A23" s="21" t="s">
        <v>518</v>
      </c>
      <c r="B23" s="7" t="s">
        <v>519</v>
      </c>
      <c r="C23" s="7" t="s">
        <v>520</v>
      </c>
      <c r="D23" s="7" t="s">
        <v>521</v>
      </c>
      <c r="E23" s="7" t="s">
        <v>522</v>
      </c>
      <c r="F23" s="21" t="s">
        <v>436</v>
      </c>
      <c r="G23" s="37" t="n">
        <f aca="false">ROUND('Telecom OSP'!G17*2+'Telecom OSP'!G20*4,0)</f>
        <v>2499</v>
      </c>
      <c r="H23" s="21" t="s">
        <v>61</v>
      </c>
      <c r="I23" s="8" t="s">
        <v>523</v>
      </c>
    </row>
    <row r="24" customFormat="false" ht="15" hidden="false" customHeight="false" outlineLevel="0" collapsed="false">
      <c r="A24" s="21" t="s">
        <v>524</v>
      </c>
      <c r="B24" s="7" t="s">
        <v>525</v>
      </c>
      <c r="C24" s="7" t="s">
        <v>526</v>
      </c>
      <c r="D24" s="7" t="s">
        <v>521</v>
      </c>
      <c r="E24" s="7" t="s">
        <v>527</v>
      </c>
      <c r="F24" s="21" t="s">
        <v>436</v>
      </c>
      <c r="G24" s="37" t="n">
        <f aca="false">ROUND('Telecom OSP'!G23*2,0)</f>
        <v>598</v>
      </c>
      <c r="H24" s="21" t="s">
        <v>61</v>
      </c>
      <c r="I24" s="8" t="s">
        <v>528</v>
      </c>
    </row>
    <row r="25" customFormat="false" ht="22.35" hidden="false" customHeight="false" outlineLevel="0" collapsed="false">
      <c r="A25" s="21" t="s">
        <v>529</v>
      </c>
      <c r="B25" s="7" t="s">
        <v>530</v>
      </c>
      <c r="C25" s="7" t="s">
        <v>531</v>
      </c>
      <c r="D25" s="7" t="s">
        <v>532</v>
      </c>
      <c r="E25" s="7" t="s">
        <v>533</v>
      </c>
      <c r="F25" s="39" t="s">
        <v>481</v>
      </c>
      <c r="G25" s="37" t="n">
        <f aca="false">'Telecom OSP'!G34</f>
        <v>1600</v>
      </c>
      <c r="H25" s="21" t="s">
        <v>61</v>
      </c>
      <c r="I25" s="8" t="s">
        <v>534</v>
      </c>
    </row>
    <row r="26" customFormat="false" ht="15" hidden="false" customHeight="false" outlineLevel="0" collapsed="false">
      <c r="A26" s="21" t="s">
        <v>535</v>
      </c>
      <c r="B26" s="7" t="s">
        <v>536</v>
      </c>
      <c r="C26" s="7" t="s">
        <v>537</v>
      </c>
      <c r="D26" s="7" t="s">
        <v>538</v>
      </c>
      <c r="E26" s="7" t="s">
        <v>539</v>
      </c>
      <c r="F26" s="39" t="s">
        <v>481</v>
      </c>
      <c r="G26" s="21" t="n">
        <v>1</v>
      </c>
      <c r="H26" s="21" t="s">
        <v>77</v>
      </c>
      <c r="I26" s="8" t="s">
        <v>540</v>
      </c>
    </row>
    <row r="27" customFormat="false" ht="15" hidden="false" customHeight="false" outlineLevel="0" collapsed="false">
      <c r="A27" s="21" t="s">
        <v>541</v>
      </c>
      <c r="B27" s="7" t="s">
        <v>542</v>
      </c>
      <c r="C27" s="7" t="s">
        <v>543</v>
      </c>
      <c r="D27" s="7" t="s">
        <v>544</v>
      </c>
      <c r="E27" s="7" t="s">
        <v>545</v>
      </c>
      <c r="F27" s="39" t="s">
        <v>481</v>
      </c>
      <c r="G27" s="37" t="n">
        <f aca="false">'Telecom OSP'!G26</f>
        <v>1407</v>
      </c>
      <c r="H27" s="21" t="s">
        <v>61</v>
      </c>
      <c r="I27" s="8" t="s">
        <v>546</v>
      </c>
    </row>
    <row r="28" customFormat="false" ht="15" hidden="false" customHeight="false" outlineLevel="0" collapsed="false">
      <c r="A28" s="19" t="s">
        <v>547</v>
      </c>
      <c r="B28" s="20"/>
      <c r="C28" s="20"/>
      <c r="D28" s="20"/>
      <c r="E28" s="20"/>
      <c r="F28" s="20"/>
      <c r="G28" s="20"/>
      <c r="H28" s="20"/>
      <c r="I28" s="20"/>
    </row>
    <row r="29" customFormat="false" ht="23.85" hidden="false" customHeight="false" outlineLevel="0" collapsed="false">
      <c r="A29" s="21" t="s">
        <v>548</v>
      </c>
      <c r="B29" s="7" t="s">
        <v>549</v>
      </c>
      <c r="C29" s="7" t="s">
        <v>550</v>
      </c>
      <c r="D29" s="7" t="s">
        <v>551</v>
      </c>
      <c r="E29" s="7" t="s">
        <v>552</v>
      </c>
      <c r="F29" s="39" t="s">
        <v>481</v>
      </c>
      <c r="G29" s="21" t="n">
        <v>3</v>
      </c>
      <c r="H29" s="21" t="s">
        <v>69</v>
      </c>
      <c r="I29" s="8" t="s">
        <v>553</v>
      </c>
    </row>
    <row r="30" customFormat="false" ht="15" hidden="false" customHeight="false" outlineLevel="0" collapsed="false">
      <c r="A30" s="21" t="s">
        <v>554</v>
      </c>
      <c r="B30" s="7" t="s">
        <v>555</v>
      </c>
      <c r="C30" s="7" t="s">
        <v>556</v>
      </c>
      <c r="D30" s="7" t="s">
        <v>551</v>
      </c>
      <c r="E30" s="7" t="s">
        <v>557</v>
      </c>
      <c r="F30" s="39" t="s">
        <v>481</v>
      </c>
      <c r="G30" s="37" t="n">
        <f aca="false">Security!G20</f>
        <v>1</v>
      </c>
      <c r="H30" s="21" t="s">
        <v>69</v>
      </c>
      <c r="I30" s="8" t="s">
        <v>558</v>
      </c>
    </row>
    <row r="31" customFormat="false" ht="23.85" hidden="false" customHeight="false" outlineLevel="0" collapsed="false">
      <c r="A31" s="21" t="s">
        <v>559</v>
      </c>
      <c r="B31" s="7" t="s">
        <v>560</v>
      </c>
      <c r="C31" s="7" t="s">
        <v>561</v>
      </c>
      <c r="D31" s="7" t="s">
        <v>562</v>
      </c>
      <c r="E31" s="7" t="s">
        <v>563</v>
      </c>
      <c r="F31" s="39" t="s">
        <v>481</v>
      </c>
      <c r="G31" s="37" t="n">
        <f aca="false">Security!G6</f>
        <v>2</v>
      </c>
      <c r="H31" s="21" t="s">
        <v>69</v>
      </c>
      <c r="I31" s="8" t="s">
        <v>564</v>
      </c>
    </row>
    <row r="32" customFormat="false" ht="22.35" hidden="false" customHeight="false" outlineLevel="0" collapsed="false">
      <c r="A32" s="21" t="s">
        <v>565</v>
      </c>
      <c r="B32" s="7" t="s">
        <v>566</v>
      </c>
      <c r="C32" s="7" t="s">
        <v>567</v>
      </c>
      <c r="D32" s="7" t="s">
        <v>568</v>
      </c>
      <c r="E32" s="7" t="s">
        <v>569</v>
      </c>
      <c r="F32" s="39" t="s">
        <v>481</v>
      </c>
      <c r="G32" s="37" t="n">
        <f aca="false">Security!G8+Security!G9</f>
        <v>2</v>
      </c>
      <c r="H32" s="21" t="s">
        <v>69</v>
      </c>
      <c r="I32" s="8" t="s">
        <v>570</v>
      </c>
    </row>
    <row r="33" customFormat="false" ht="23.85" hidden="false" customHeight="false" outlineLevel="0" collapsed="false">
      <c r="A33" s="21" t="s">
        <v>571</v>
      </c>
      <c r="B33" s="7" t="s">
        <v>572</v>
      </c>
      <c r="C33" s="7" t="s">
        <v>573</v>
      </c>
      <c r="D33" s="7" t="s">
        <v>574</v>
      </c>
      <c r="E33" s="7" t="s">
        <v>575</v>
      </c>
      <c r="F33" s="38" t="s">
        <v>450</v>
      </c>
      <c r="G33" s="37" t="n">
        <f aca="false">Security!G16+Security!G17</f>
        <v>2</v>
      </c>
      <c r="H33" s="21" t="s">
        <v>69</v>
      </c>
      <c r="I33" s="8" t="s">
        <v>576</v>
      </c>
    </row>
    <row r="34" customFormat="false" ht="23.85" hidden="false" customHeight="false" outlineLevel="0" collapsed="false">
      <c r="A34" s="21" t="s">
        <v>577</v>
      </c>
      <c r="B34" s="7" t="s">
        <v>578</v>
      </c>
      <c r="C34" s="7" t="s">
        <v>579</v>
      </c>
      <c r="D34" s="7" t="s">
        <v>580</v>
      </c>
      <c r="E34" s="7" t="s">
        <v>581</v>
      </c>
      <c r="F34" s="39" t="s">
        <v>481</v>
      </c>
      <c r="G34" s="37" t="n">
        <f aca="false">Security!G12</f>
        <v>3</v>
      </c>
      <c r="H34" s="21" t="s">
        <v>69</v>
      </c>
      <c r="I34" s="8" t="s">
        <v>582</v>
      </c>
    </row>
    <row r="35" customFormat="false" ht="15" hidden="false" customHeight="false" outlineLevel="0" collapsed="false">
      <c r="A35" s="21" t="s">
        <v>583</v>
      </c>
      <c r="B35" s="7" t="s">
        <v>584</v>
      </c>
      <c r="C35" s="7" t="s">
        <v>585</v>
      </c>
      <c r="D35" s="7" t="s">
        <v>586</v>
      </c>
      <c r="E35" s="7" t="s">
        <v>587</v>
      </c>
      <c r="F35" s="39" t="s">
        <v>481</v>
      </c>
      <c r="G35" s="37" t="n">
        <f aca="false">Security!G11</f>
        <v>3</v>
      </c>
      <c r="H35" s="21" t="s">
        <v>69</v>
      </c>
      <c r="I35" s="8" t="s">
        <v>588</v>
      </c>
    </row>
    <row r="36" customFormat="false" ht="22.35" hidden="false" customHeight="false" outlineLevel="0" collapsed="false">
      <c r="A36" s="21" t="s">
        <v>589</v>
      </c>
      <c r="B36" s="7" t="s">
        <v>590</v>
      </c>
      <c r="C36" s="7" t="s">
        <v>591</v>
      </c>
      <c r="D36" s="7" t="s">
        <v>592</v>
      </c>
      <c r="E36" s="7" t="s">
        <v>593</v>
      </c>
      <c r="F36" s="39" t="s">
        <v>481</v>
      </c>
      <c r="G36" s="37" t="n">
        <f aca="false">Security!G27</f>
        <v>1400</v>
      </c>
      <c r="H36" s="21" t="s">
        <v>61</v>
      </c>
      <c r="I36" s="8" t="s">
        <v>594</v>
      </c>
    </row>
    <row r="37" customFormat="false" ht="23.85" hidden="false" customHeight="false" outlineLevel="0" collapsed="false">
      <c r="A37" s="21" t="s">
        <v>595</v>
      </c>
      <c r="B37" s="7" t="s">
        <v>596</v>
      </c>
      <c r="C37" s="7" t="s">
        <v>597</v>
      </c>
      <c r="D37" s="7" t="s">
        <v>598</v>
      </c>
      <c r="E37" s="7" t="s">
        <v>599</v>
      </c>
      <c r="F37" s="39" t="s">
        <v>481</v>
      </c>
      <c r="G37" s="37" t="n">
        <f aca="false">Security!G26</f>
        <v>1800</v>
      </c>
      <c r="H37" s="21" t="s">
        <v>61</v>
      </c>
      <c r="I37" s="8"/>
    </row>
    <row r="38" customFormat="false" ht="23.85" hidden="false" customHeight="false" outlineLevel="0" collapsed="false">
      <c r="A38" s="21" t="s">
        <v>600</v>
      </c>
      <c r="B38" s="7" t="s">
        <v>601</v>
      </c>
      <c r="C38" s="7" t="s">
        <v>602</v>
      </c>
      <c r="D38" s="7" t="s">
        <v>603</v>
      </c>
      <c r="E38" s="7" t="s">
        <v>604</v>
      </c>
      <c r="F38" s="39" t="s">
        <v>481</v>
      </c>
      <c r="G38" s="37" t="n">
        <f aca="false">Security!G18</f>
        <v>1</v>
      </c>
      <c r="H38" s="21" t="s">
        <v>69</v>
      </c>
      <c r="I38" s="8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0"/>
  </cols>
  <sheetData>
    <row r="2" customFormat="false" ht="17.35" hidden="false" customHeight="false" outlineLevel="0" collapsed="false">
      <c r="B2" s="40" t="s">
        <v>606</v>
      </c>
    </row>
    <row r="4" customFormat="false" ht="15" hidden="false" customHeight="false" outlineLevel="0" collapsed="false">
      <c r="B4" s="41" t="s">
        <v>607</v>
      </c>
      <c r="C4" s="42"/>
    </row>
    <row r="5" customFormat="false" ht="24" hidden="false" customHeight="true" outlineLevel="0" collapsed="false">
      <c r="B5" s="43" t="s">
        <v>608</v>
      </c>
      <c r="C5" s="8" t="s">
        <v>609</v>
      </c>
    </row>
    <row r="6" customFormat="false" ht="24" hidden="false" customHeight="true" outlineLevel="0" collapsed="false">
      <c r="B6" s="43" t="s">
        <v>610</v>
      </c>
      <c r="C6" s="8" t="s">
        <v>611</v>
      </c>
    </row>
    <row r="7" customFormat="false" ht="24" hidden="false" customHeight="true" outlineLevel="0" collapsed="false">
      <c r="B7" s="43" t="s">
        <v>612</v>
      </c>
      <c r="C7" s="8" t="s">
        <v>613</v>
      </c>
    </row>
    <row r="9" customFormat="false" ht="15" hidden="false" customHeight="false" outlineLevel="0" collapsed="false">
      <c r="B9" s="41" t="s">
        <v>614</v>
      </c>
      <c r="C9" s="42"/>
    </row>
    <row r="10" customFormat="false" ht="24" hidden="false" customHeight="true" outlineLevel="0" collapsed="false">
      <c r="B10" s="43" t="s">
        <v>76</v>
      </c>
      <c r="C10" s="8" t="s">
        <v>615</v>
      </c>
    </row>
    <row r="11" customFormat="false" ht="24" hidden="false" customHeight="true" outlineLevel="0" collapsed="false">
      <c r="B11" s="43" t="s">
        <v>254</v>
      </c>
      <c r="C11" s="8" t="s">
        <v>616</v>
      </c>
    </row>
    <row r="12" customFormat="false" ht="24" hidden="false" customHeight="true" outlineLevel="0" collapsed="false">
      <c r="B12" s="43" t="s">
        <v>60</v>
      </c>
      <c r="C12" s="8" t="s">
        <v>617</v>
      </c>
    </row>
    <row r="13" customFormat="false" ht="24" hidden="false" customHeight="true" outlineLevel="0" collapsed="false">
      <c r="B13" s="43" t="s">
        <v>199</v>
      </c>
      <c r="C13" s="8" t="s">
        <v>618</v>
      </c>
    </row>
    <row r="14" customFormat="false" ht="36" hidden="false" customHeight="true" outlineLevel="0" collapsed="false">
      <c r="B14" s="43" t="s">
        <v>619</v>
      </c>
      <c r="C14" s="8" t="s">
        <v>620</v>
      </c>
    </row>
    <row r="15" customFormat="false" ht="24" hidden="false" customHeight="true" outlineLevel="0" collapsed="false">
      <c r="B15" s="43" t="s">
        <v>621</v>
      </c>
      <c r="C15" s="8" t="s">
        <v>622</v>
      </c>
    </row>
    <row r="17" customFormat="false" ht="15" hidden="false" customHeight="false" outlineLevel="0" collapsed="false">
      <c r="B17" s="41" t="s">
        <v>623</v>
      </c>
      <c r="C17" s="42"/>
    </row>
    <row r="18" customFormat="false" ht="36" hidden="false" customHeight="true" outlineLevel="0" collapsed="false">
      <c r="B18" s="43" t="s">
        <v>624</v>
      </c>
      <c r="C18" s="8" t="s">
        <v>625</v>
      </c>
    </row>
    <row r="19" customFormat="false" ht="24" hidden="false" customHeight="true" outlineLevel="0" collapsed="false">
      <c r="B19" s="43" t="s">
        <v>626</v>
      </c>
      <c r="C19" s="8" t="s">
        <v>627</v>
      </c>
    </row>
    <row r="20" customFormat="false" ht="24" hidden="false" customHeight="true" outlineLevel="0" collapsed="false">
      <c r="B20" s="43" t="s">
        <v>628</v>
      </c>
      <c r="C20" s="8" t="s">
        <v>629</v>
      </c>
    </row>
    <row r="21" customFormat="false" ht="36" hidden="false" customHeight="true" outlineLevel="0" collapsed="false">
      <c r="B21" s="43" t="s">
        <v>630</v>
      </c>
      <c r="C21" s="8" t="s">
        <v>631</v>
      </c>
    </row>
    <row r="22" customFormat="false" ht="24" hidden="false" customHeight="true" outlineLevel="0" collapsed="false">
      <c r="B22" s="43" t="s">
        <v>632</v>
      </c>
      <c r="C22" s="8" t="s">
        <v>633</v>
      </c>
    </row>
    <row r="23" customFormat="false" ht="24" hidden="false" customHeight="true" outlineLevel="0" collapsed="false">
      <c r="B23" s="43" t="s">
        <v>634</v>
      </c>
      <c r="C23" s="8" t="s">
        <v>635</v>
      </c>
    </row>
    <row r="24" customFormat="false" ht="24" hidden="false" customHeight="true" outlineLevel="0" collapsed="false">
      <c r="B24" s="43" t="s">
        <v>636</v>
      </c>
      <c r="C24" s="8" t="s">
        <v>637</v>
      </c>
    </row>
    <row r="25" customFormat="false" ht="24" hidden="false" customHeight="true" outlineLevel="0" collapsed="false">
      <c r="B25" s="43" t="s">
        <v>638</v>
      </c>
      <c r="C25" s="8" t="s">
        <v>639</v>
      </c>
    </row>
    <row r="26" customFormat="false" ht="24" hidden="false" customHeight="true" outlineLevel="0" collapsed="false">
      <c r="B26" s="43" t="s">
        <v>640</v>
      </c>
      <c r="C26" s="8" t="s">
        <v>641</v>
      </c>
    </row>
    <row r="27" customFormat="false" ht="36" hidden="false" customHeight="true" outlineLevel="0" collapsed="false">
      <c r="B27" s="43" t="s">
        <v>642</v>
      </c>
      <c r="C27" s="8" t="s">
        <v>643</v>
      </c>
    </row>
    <row r="28" customFormat="false" ht="36" hidden="false" customHeight="true" outlineLevel="0" collapsed="false">
      <c r="B28" s="43" t="s">
        <v>644</v>
      </c>
      <c r="C28" s="8" t="s">
        <v>645</v>
      </c>
    </row>
    <row r="30" customFormat="false" ht="15" hidden="false" customHeight="false" outlineLevel="0" collapsed="false">
      <c r="B30" s="41" t="s">
        <v>646</v>
      </c>
      <c r="C30" s="42"/>
    </row>
    <row r="31" customFormat="false" ht="24" hidden="false" customHeight="true" outlineLevel="0" collapsed="false">
      <c r="B31" s="43" t="s">
        <v>647</v>
      </c>
      <c r="C31" s="8" t="s">
        <v>648</v>
      </c>
    </row>
    <row r="32" customFormat="false" ht="24" hidden="false" customHeight="true" outlineLevel="0" collapsed="false">
      <c r="B32" s="43" t="s">
        <v>649</v>
      </c>
      <c r="C32" s="8" t="s">
        <v>650</v>
      </c>
    </row>
    <row r="33" customFormat="false" ht="36" hidden="false" customHeight="true" outlineLevel="0" collapsed="false">
      <c r="B33" s="43" t="s">
        <v>651</v>
      </c>
      <c r="C33" s="8" t="s">
        <v>652</v>
      </c>
    </row>
    <row r="34" customFormat="false" ht="24" hidden="false" customHeight="true" outlineLevel="0" collapsed="false">
      <c r="B34" s="43" t="s">
        <v>653</v>
      </c>
      <c r="C34" s="8" t="s">
        <v>654</v>
      </c>
    </row>
    <row r="35" customFormat="false" ht="24" hidden="false" customHeight="true" outlineLevel="0" collapsed="false">
      <c r="B35" s="43" t="s">
        <v>655</v>
      </c>
      <c r="C35" s="8" t="s">
        <v>656</v>
      </c>
    </row>
    <row r="36" customFormat="false" ht="24" hidden="false" customHeight="true" outlineLevel="0" collapsed="false">
      <c r="B36" s="43" t="s">
        <v>657</v>
      </c>
      <c r="C36" s="8" t="s">
        <v>658</v>
      </c>
    </row>
    <row r="37" customFormat="false" ht="24" hidden="false" customHeight="true" outlineLevel="0" collapsed="false">
      <c r="B37" s="43" t="s">
        <v>659</v>
      </c>
      <c r="C37" s="8" t="s">
        <v>660</v>
      </c>
    </row>
    <row r="38" customFormat="false" ht="24" hidden="false" customHeight="true" outlineLevel="0" collapsed="false">
      <c r="B38" s="43" t="s">
        <v>661</v>
      </c>
      <c r="C38" s="8" t="s">
        <v>662</v>
      </c>
    </row>
    <row r="40" customFormat="false" ht="15" hidden="false" customHeight="false" outlineLevel="0" collapsed="false">
      <c r="B40" s="41" t="s">
        <v>663</v>
      </c>
      <c r="C40" s="42"/>
    </row>
    <row r="41" customFormat="false" ht="24" hidden="false" customHeight="true" outlineLevel="0" collapsed="false">
      <c r="B41" s="43" t="s">
        <v>664</v>
      </c>
      <c r="C41" s="8" t="s">
        <v>665</v>
      </c>
    </row>
    <row r="42" customFormat="false" ht="24" hidden="false" customHeight="true" outlineLevel="0" collapsed="false">
      <c r="B42" s="43" t="s">
        <v>666</v>
      </c>
      <c r="C42" s="8" t="s">
        <v>667</v>
      </c>
    </row>
    <row r="43" customFormat="false" ht="24" hidden="false" customHeight="true" outlineLevel="0" collapsed="false">
      <c r="B43" s="43" t="s">
        <v>668</v>
      </c>
      <c r="C43" s="8" t="s">
        <v>669</v>
      </c>
    </row>
    <row r="44" customFormat="false" ht="24" hidden="false" customHeight="true" outlineLevel="0" collapsed="false">
      <c r="B44" s="43" t="s">
        <v>670</v>
      </c>
      <c r="C44" s="8" t="s">
        <v>671</v>
      </c>
    </row>
    <row r="45" customFormat="false" ht="24" hidden="false" customHeight="true" outlineLevel="0" collapsed="false">
      <c r="B45" s="43" t="s">
        <v>672</v>
      </c>
      <c r="C45" s="8" t="s">
        <v>673</v>
      </c>
    </row>
    <row r="46" customFormat="false" ht="24" hidden="false" customHeight="true" outlineLevel="0" collapsed="false">
      <c r="B46" s="43" t="s">
        <v>674</v>
      </c>
      <c r="C46" s="8" t="s">
        <v>675</v>
      </c>
    </row>
    <row r="47" customFormat="false" ht="24" hidden="false" customHeight="true" outlineLevel="0" collapsed="false">
      <c r="B47" s="43" t="s">
        <v>676</v>
      </c>
      <c r="C47" s="8" t="s">
        <v>677</v>
      </c>
    </row>
    <row r="48" customFormat="false" ht="24" hidden="false" customHeight="true" outlineLevel="0" collapsed="false">
      <c r="B48" s="43" t="s">
        <v>678</v>
      </c>
      <c r="C48" s="8" t="s">
        <v>679</v>
      </c>
    </row>
    <row r="49" customFormat="false" ht="24" hidden="false" customHeight="true" outlineLevel="0" collapsed="false">
      <c r="B49" s="43" t="s">
        <v>680</v>
      </c>
      <c r="C49" s="8" t="s">
        <v>681</v>
      </c>
    </row>
    <row r="50" customFormat="false" ht="24" hidden="false" customHeight="true" outlineLevel="0" collapsed="false">
      <c r="B50" s="43" t="s">
        <v>682</v>
      </c>
      <c r="C50" s="8" t="s">
        <v>683</v>
      </c>
    </row>
    <row r="51" customFormat="false" ht="24" hidden="false" customHeight="true" outlineLevel="0" collapsed="false">
      <c r="B51" s="43" t="s">
        <v>684</v>
      </c>
      <c r="C51" s="8" t="s">
        <v>685</v>
      </c>
    </row>
    <row r="52" customFormat="false" ht="24" hidden="false" customHeight="true" outlineLevel="0" collapsed="false">
      <c r="B52" s="43" t="s">
        <v>686</v>
      </c>
      <c r="C52" s="8" t="s">
        <v>687</v>
      </c>
    </row>
    <row r="53" customFormat="false" ht="24" hidden="false" customHeight="true" outlineLevel="0" collapsed="false">
      <c r="B53" s="43" t="s">
        <v>688</v>
      </c>
      <c r="C53" s="8" t="s">
        <v>689</v>
      </c>
    </row>
    <row r="54" customFormat="false" ht="24" hidden="false" customHeight="true" outlineLevel="0" collapsed="false">
      <c r="B54" s="43" t="s">
        <v>690</v>
      </c>
      <c r="C54" s="8" t="s">
        <v>691</v>
      </c>
    </row>
    <row r="56" customFormat="false" ht="15" hidden="false" customHeight="false" outlineLevel="0" collapsed="false">
      <c r="B56" s="41" t="s">
        <v>692</v>
      </c>
      <c r="C56" s="42"/>
    </row>
    <row r="57" customFormat="false" ht="48" hidden="false" customHeight="true" outlineLevel="0" collapsed="false">
      <c r="B57" s="43" t="s">
        <v>693</v>
      </c>
      <c r="C57" s="8" t="s">
        <v>694</v>
      </c>
    </row>
    <row r="58" customFormat="false" ht="48" hidden="false" customHeight="true" outlineLevel="0" collapsed="false">
      <c r="B58" s="43" t="s">
        <v>695</v>
      </c>
      <c r="C58" s="8" t="s">
        <v>696</v>
      </c>
    </row>
    <row r="59" customFormat="false" ht="24" hidden="false" customHeight="true" outlineLevel="0" collapsed="false">
      <c r="B59" s="43" t="s">
        <v>697</v>
      </c>
      <c r="C59" s="8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2026-09-01T00:40:14Z</dcterms:created>
  <dc:creator>openpyxl</dc:creator>
  <dc:description/>
  <dc:language>en-US</dc:language>
  <cp:lastModifiedBy/>
  <dcterms:modified xsi:type="dcterms:W3CDTF">2026-09-01T00:40:14Z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